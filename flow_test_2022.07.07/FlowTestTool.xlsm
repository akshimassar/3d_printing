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21.jpeg" ContentType="image/jpeg"/>
  <Override PartName="/xl/media/image22.jpeg" ContentType="image/jpeg"/>
  <Override PartName="/xl/charts/chart16.xml" ContentType="application/vnd.openxmlformats-officedocument.drawingml.chart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Settings" sheetId="1" state="visible" r:id="rId3"/>
    <sheet name="Output" sheetId="2" state="visible" r:id="rId4"/>
    <sheet name="SampleEvaluation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<sst xmlns="http://schemas.openxmlformats.org/spreadsheetml/2006/main" count="738" uniqueCount="270">
  <si>
    <t xml:space="preserve">General Settings</t>
  </si>
  <si>
    <t xml:space="preserve">Bed Width</t>
  </si>
  <si>
    <t xml:space="preserve">mm</t>
  </si>
  <si>
    <t xml:space="preserve">Bed Length</t>
  </si>
  <si>
    <t xml:space="preserve">Bed Margin</t>
  </si>
  <si>
    <t xml:space="preserve">Filament Diameter</t>
  </si>
  <si>
    <t xml:space="preserve">Travel Speed</t>
  </si>
  <si>
    <t xml:space="preserve">mm/s</t>
  </si>
  <si>
    <t xml:space="preserve">Stabilization Time</t>
  </si>
  <si>
    <t xml:space="preserve">s</t>
  </si>
  <si>
    <t xml:space="preserve">Bed Temperature</t>
  </si>
  <si>
    <t xml:space="preserve">°C</t>
  </si>
  <si>
    <t xml:space="preserve">Fan Speed</t>
  </si>
  <si>
    <t xml:space="preserve">%</t>
  </si>
  <si>
    <t xml:space="preserve">Prime Length</t>
  </si>
  <si>
    <t xml:space="preserve">Prime Amount</t>
  </si>
  <si>
    <t xml:space="preserve">Prime Flow</t>
  </si>
  <si>
    <t xml:space="preserve">Prime Speed</t>
  </si>
  <si>
    <t xml:space="preserve">mm³/s</t>
  </si>
  <si>
    <t xml:space="preserve">Wipe Length</t>
  </si>
  <si>
    <t xml:space="preserve">Retraction Distance</t>
  </si>
  <si>
    <t xml:space="preserve">Retraction Speed</t>
  </si>
  <si>
    <t xml:space="preserve">Blob Height</t>
  </si>
  <si>
    <t xml:space="preserve">Extrusion Amount</t>
  </si>
  <si>
    <t xml:space="preserve">Direction</t>
  </si>
  <si>
    <t xml:space="preserve">1=front to back, -1=back to front</t>
  </si>
  <si>
    <t xml:space="preserve">Temperature Spacing</t>
  </si>
  <si>
    <t xml:space="preserve">Flow Spacing</t>
  </si>
  <si>
    <t xml:space="preserve">DOE Settings</t>
  </si>
  <si>
    <t xml:space="preserve">Flow Variation</t>
  </si>
  <si>
    <t xml:space="preserve">Start Flow</t>
  </si>
  <si>
    <t xml:space="preserve">Offset</t>
  </si>
  <si>
    <t xml:space="preserve">Steps</t>
  </si>
  <si>
    <t xml:space="preserve">End Flow</t>
  </si>
  <si>
    <t xml:space="preserve">Temperature Variation</t>
  </si>
  <si>
    <t xml:space="preserve">Start Temperature</t>
  </si>
  <si>
    <t xml:space="preserve">K</t>
  </si>
  <si>
    <t xml:space="preserve">If Steps = 1 "Fill Mode" is used</t>
  </si>
  <si>
    <t xml:space="preserve">Comment</t>
  </si>
  <si>
    <t xml:space="preserve">Ender-3</t>
  </si>
  <si>
    <t xml:space="preserve">; *** CNC Kitchen Auto Flow Pattern Generator 0.93</t>
  </si>
  <si>
    <t xml:space="preserve">; *** 02/04/26 Stefan Hermann</t>
  </si>
  <si>
    <t xml:space="preserve">;####### Settings</t>
  </si>
  <si>
    <t xml:space="preserve">; Ender-3</t>
  </si>
  <si>
    <t xml:space="preserve">; bedWidth = 180</t>
  </si>
  <si>
    <t xml:space="preserve">; bedLength = 180</t>
  </si>
  <si>
    <t xml:space="preserve">; bedMargin = 5</t>
  </si>
  <si>
    <t xml:space="preserve">; filamentDiameter = 1.75</t>
  </si>
  <si>
    <t xml:space="preserve">; movementSpeed = 100</t>
  </si>
  <si>
    <t xml:space="preserve">; stabilizationTime = 20</t>
  </si>
  <si>
    <t xml:space="preserve">; bedTemp = 70</t>
  </si>
  <si>
    <t xml:space="preserve">; primeLength = 15</t>
  </si>
  <si>
    <t xml:space="preserve">; primeAmount = 20</t>
  </si>
  <si>
    <t xml:space="preserve">; primeSpeed = 2</t>
  </si>
  <si>
    <t xml:space="preserve">; retractionDistance = 4</t>
  </si>
  <si>
    <t xml:space="preserve">; retractionSpeed = 60</t>
  </si>
  <si>
    <t xml:space="preserve">; blobHeight = 10</t>
  </si>
  <si>
    <t xml:space="preserve">; extrusionAmount = 200</t>
  </si>
  <si>
    <t xml:space="preserve">; xSpacing = 20</t>
  </si>
  <si>
    <t xml:space="preserve">; ySpacing = 20</t>
  </si>
  <si>
    <t xml:space="preserve">; startFlow = 2</t>
  </si>
  <si>
    <t xml:space="preserve">; flowOffset = 3</t>
  </si>
  <si>
    <t xml:space="preserve">; flowSteps = 10</t>
  </si>
  <si>
    <t xml:space="preserve">; startTemp = 220</t>
  </si>
  <si>
    <t xml:space="preserve">; tempOffset = 20</t>
  </si>
  <si>
    <t xml:space="preserve">; tempSteps = 4</t>
  </si>
  <si>
    <t xml:space="preserve">; direction = 1</t>
  </si>
  <si>
    <t xml:space="preserve">M104 S220 ; Set Nozzle Temperature</t>
  </si>
  <si>
    <t xml:space="preserve">M140 S70 ; Set Bed Temperature</t>
  </si>
  <si>
    <t xml:space="preserve">G90</t>
  </si>
  <si>
    <t xml:space="preserve">G28 ; Move to home position</t>
  </si>
  <si>
    <t xml:space="preserve">G0 Z10 ; Lift nozzle</t>
  </si>
  <si>
    <t xml:space="preserve">G21; unit in mm</t>
  </si>
  <si>
    <t xml:space="preserve">G92 E0; reset extruder</t>
  </si>
  <si>
    <t xml:space="preserve">M83; set extruder to relative mode</t>
  </si>
  <si>
    <t xml:space="preserve">M190 S70 ; Set Bed Temperature &amp; Wait</t>
  </si>
  <si>
    <t xml:space="preserve">M106 S0 ; Set Fan Speed</t>
  </si>
  <si>
    <t xml:space="preserve">;####### 220C</t>
  </si>
  <si>
    <t xml:space="preserve">G4 S0 ; Dwell</t>
  </si>
  <si>
    <t xml:space="preserve">M109 R220</t>
  </si>
  <si>
    <t xml:space="preserve">;####### 2mm3/s</t>
  </si>
  <si>
    <t xml:space="preserve">M117 220°C // 2mm3/s</t>
  </si>
  <si>
    <t xml:space="preserve">G0 X5 Y5 Z15.5 F6000</t>
  </si>
  <si>
    <t xml:space="preserve">G4 S20; Stabalize</t>
  </si>
  <si>
    <t xml:space="preserve">G0 Z0.3 ; Drop down</t>
  </si>
  <si>
    <t xml:space="preserve">G1 X20 E20 F120 ;Prime</t>
  </si>
  <si>
    <t xml:space="preserve">G1 E-4 F3600; Retract</t>
  </si>
  <si>
    <t xml:space="preserve">G0 X30 F6000 ; Wipe</t>
  </si>
  <si>
    <t xml:space="preserve">G0 Z0.5 ; Lift</t>
  </si>
  <si>
    <t xml:space="preserve">G1 E4 F3600 ; De-Retract</t>
  </si>
  <si>
    <t xml:space="preserve">G1 Z10.5 E200 F2.49 ; Extrude</t>
  </si>
  <si>
    <t xml:space="preserve">G1 E-4 F3600 ; Retract</t>
  </si>
  <si>
    <t xml:space="preserve">G0 Z15.5; Lift</t>
  </si>
  <si>
    <t xml:space="preserve">G0 X5 Y5 F6000</t>
  </si>
  <si>
    <t xml:space="preserve">G92 E0 ; Reset Extruder</t>
  </si>
  <si>
    <t xml:space="preserve">;####### 5mm3/s</t>
  </si>
  <si>
    <t xml:space="preserve">M117 220°C // 5mm3/s</t>
  </si>
  <si>
    <t xml:space="preserve">G0 X5 Y25 Z15.5 F6000</t>
  </si>
  <si>
    <t xml:space="preserve">G1 Z10.5 E200 F6.24 ; Extrude</t>
  </si>
  <si>
    <t xml:space="preserve">G0 X5 Y25 F6000</t>
  </si>
  <si>
    <t xml:space="preserve">;####### 8mm3/s</t>
  </si>
  <si>
    <t xml:space="preserve">M117 220°C // 8mm3/s</t>
  </si>
  <si>
    <t xml:space="preserve">G0 X5 Y45 Z15.5 F6000</t>
  </si>
  <si>
    <t xml:space="preserve">G1 Z10.5 E200 F9.98 ; Extrude</t>
  </si>
  <si>
    <t xml:space="preserve">G0 X5 Y45 F6000</t>
  </si>
  <si>
    <t xml:space="preserve">;####### 11mm3/s</t>
  </si>
  <si>
    <t xml:space="preserve">M117 220°C // 11mm3/s</t>
  </si>
  <si>
    <t xml:space="preserve">G0 X5 Y65 Z15.5 F6000</t>
  </si>
  <si>
    <t xml:space="preserve">G1 Z10.5 E200 F13.72 ; Extrude</t>
  </si>
  <si>
    <t xml:space="preserve">G0 X5 Y65 F6000</t>
  </si>
  <si>
    <t xml:space="preserve">;####### 14mm3/s</t>
  </si>
  <si>
    <t xml:space="preserve">M117 220°C // 14mm3/s</t>
  </si>
  <si>
    <t xml:space="preserve">G0 X5 Y85 Z15.5 F6000</t>
  </si>
  <si>
    <t xml:space="preserve">G1 Z10.5 E200 F17.46 ; Extrude</t>
  </si>
  <si>
    <t xml:space="preserve">G0 X5 Y85 F6000</t>
  </si>
  <si>
    <t xml:space="preserve">;####### 17mm3/s</t>
  </si>
  <si>
    <t xml:space="preserve">M117 220°C // 17mm3/s</t>
  </si>
  <si>
    <t xml:space="preserve">G0 X5 Y105 Z15.5 F6000</t>
  </si>
  <si>
    <t xml:space="preserve">G1 Z10.5 E200 F21.2 ; Extrude</t>
  </si>
  <si>
    <t xml:space="preserve">G0 X5 Y105 F6000</t>
  </si>
  <si>
    <t xml:space="preserve">;####### 20mm3/s</t>
  </si>
  <si>
    <t xml:space="preserve">M117 220°C // 20mm3/s</t>
  </si>
  <si>
    <t xml:space="preserve">G0 X5 Y125 Z15.5 F6000</t>
  </si>
  <si>
    <t xml:space="preserve">G1 Z10.5 E200 F24.95 ; Extrude</t>
  </si>
  <si>
    <t xml:space="preserve">G0 X5 Y125 F6000</t>
  </si>
  <si>
    <t xml:space="preserve">;####### 23mm3/s</t>
  </si>
  <si>
    <t xml:space="preserve">M117 220°C // 23mm3/s</t>
  </si>
  <si>
    <t xml:space="preserve">G0 X5 Y145 Z15.5 F6000</t>
  </si>
  <si>
    <t xml:space="preserve">G1 Z10.5 E200 F28.69 ; Extrude</t>
  </si>
  <si>
    <t xml:space="preserve">G0 X5 Y145 F6000</t>
  </si>
  <si>
    <t xml:space="preserve">;####### 26mm3/s</t>
  </si>
  <si>
    <t xml:space="preserve">M117 220°C // 26mm3/s</t>
  </si>
  <si>
    <t xml:space="preserve">G0 X5 Y165 Z15.5 F6000</t>
  </si>
  <si>
    <t xml:space="preserve">G1 Z10.5 E200 F32.43 ; Extrude</t>
  </si>
  <si>
    <t xml:space="preserve">G0 X5 Y165 F6000</t>
  </si>
  <si>
    <t xml:space="preserve">;####### 29mm3/s</t>
  </si>
  <si>
    <t xml:space="preserve">M117 220°C // 29mm3/s</t>
  </si>
  <si>
    <t xml:space="preserve">G0 X5 Y185 Z15.5 F6000</t>
  </si>
  <si>
    <t xml:space="preserve">G1 Z10.5 E200 F36.17 ; Extrude</t>
  </si>
  <si>
    <t xml:space="preserve">G0 X5 Y185 F6000</t>
  </si>
  <si>
    <t xml:space="preserve">;####### 240C</t>
  </si>
  <si>
    <t xml:space="preserve">M109 R240</t>
  </si>
  <si>
    <t xml:space="preserve">M117 240°C // 2mm3/s</t>
  </si>
  <si>
    <t xml:space="preserve">G0 X50 Y5 Z15.5 F6000</t>
  </si>
  <si>
    <t xml:space="preserve">G1 X65 E20 F120 ;Prime</t>
  </si>
  <si>
    <t xml:space="preserve">G0 X75 F6000 ; Wipe</t>
  </si>
  <si>
    <t xml:space="preserve">G0 X50 Y5 F6000</t>
  </si>
  <si>
    <t xml:space="preserve">M117 240°C // 5mm3/s</t>
  </si>
  <si>
    <t xml:space="preserve">G0 X50 Y25 Z15.5 F6000</t>
  </si>
  <si>
    <t xml:space="preserve">G0 X50 Y25 F6000</t>
  </si>
  <si>
    <t xml:space="preserve">M117 240°C // 8mm3/s</t>
  </si>
  <si>
    <t xml:space="preserve">G0 X50 Y45 Z15.5 F6000</t>
  </si>
  <si>
    <t xml:space="preserve">G0 X50 Y45 F6000</t>
  </si>
  <si>
    <t xml:space="preserve">M117 240°C // 11mm3/s</t>
  </si>
  <si>
    <t xml:space="preserve">G0 X50 Y65 Z15.5 F6000</t>
  </si>
  <si>
    <t xml:space="preserve">G0 X50 Y65 F6000</t>
  </si>
  <si>
    <t xml:space="preserve">M117 240°C // 14mm3/s</t>
  </si>
  <si>
    <t xml:space="preserve">G0 X50 Y85 Z15.5 F6000</t>
  </si>
  <si>
    <t xml:space="preserve">G0 X50 Y85 F6000</t>
  </si>
  <si>
    <t xml:space="preserve">M117 240°C // 17mm3/s</t>
  </si>
  <si>
    <t xml:space="preserve">G0 X50 Y105 Z15.5 F6000</t>
  </si>
  <si>
    <t xml:space="preserve">G0 X50 Y105 F6000</t>
  </si>
  <si>
    <t xml:space="preserve">M117 240°C // 20mm3/s</t>
  </si>
  <si>
    <t xml:space="preserve">G0 X50 Y125 Z15.5 F6000</t>
  </si>
  <si>
    <t xml:space="preserve">G0 X50 Y125 F6000</t>
  </si>
  <si>
    <t xml:space="preserve">M117 240°C // 23mm3/s</t>
  </si>
  <si>
    <t xml:space="preserve">G0 X50 Y145 Z15.5 F6000</t>
  </si>
  <si>
    <t xml:space="preserve">G0 X50 Y145 F6000</t>
  </si>
  <si>
    <t xml:space="preserve">M117 240°C // 26mm3/s</t>
  </si>
  <si>
    <t xml:space="preserve">G0 X50 Y165 Z15.5 F6000</t>
  </si>
  <si>
    <t xml:space="preserve">G0 X50 Y165 F6000</t>
  </si>
  <si>
    <t xml:space="preserve">M117 240°C // 29mm3/s</t>
  </si>
  <si>
    <t xml:space="preserve">G0 X50 Y185 Z15.5 F6000</t>
  </si>
  <si>
    <t xml:space="preserve">G0 X50 Y185 F6000</t>
  </si>
  <si>
    <t xml:space="preserve">;####### 260C</t>
  </si>
  <si>
    <t xml:space="preserve">M109 R260</t>
  </si>
  <si>
    <t xml:space="preserve">M117 260°C // 2mm3/s</t>
  </si>
  <si>
    <t xml:space="preserve">G0 X95 Y5 Z15.5 F6000</t>
  </si>
  <si>
    <t xml:space="preserve">G1 X110 E20 F120 ;Prime</t>
  </si>
  <si>
    <t xml:space="preserve">G0 X120 F6000 ; Wipe</t>
  </si>
  <si>
    <t xml:space="preserve">G0 X95 Y5 F6000</t>
  </si>
  <si>
    <t xml:space="preserve">M117 260°C // 5mm3/s</t>
  </si>
  <si>
    <t xml:space="preserve">G0 X95 Y25 Z15.5 F6000</t>
  </si>
  <si>
    <t xml:space="preserve">G0 X95 Y25 F6000</t>
  </si>
  <si>
    <t xml:space="preserve">M117 260°C // 8mm3/s</t>
  </si>
  <si>
    <t xml:space="preserve">G0 X95 Y45 Z15.5 F6000</t>
  </si>
  <si>
    <t xml:space="preserve">G0 X95 Y45 F6000</t>
  </si>
  <si>
    <t xml:space="preserve">M117 260°C // 11mm3/s</t>
  </si>
  <si>
    <t xml:space="preserve">G0 X95 Y65 Z15.5 F6000</t>
  </si>
  <si>
    <t xml:space="preserve">G0 X95 Y65 F6000</t>
  </si>
  <si>
    <t xml:space="preserve">M117 260°C // 14mm3/s</t>
  </si>
  <si>
    <t xml:space="preserve">G0 X95 Y85 Z15.5 F6000</t>
  </si>
  <si>
    <t xml:space="preserve">G0 X95 Y85 F6000</t>
  </si>
  <si>
    <t xml:space="preserve">M117 260°C // 17mm3/s</t>
  </si>
  <si>
    <t xml:space="preserve">G0 X95 Y105 Z15.5 F6000</t>
  </si>
  <si>
    <t xml:space="preserve">G0 X95 Y105 F6000</t>
  </si>
  <si>
    <t xml:space="preserve">M117 260°C // 20mm3/s</t>
  </si>
  <si>
    <t xml:space="preserve">G0 X95 Y125 Z15.5 F6000</t>
  </si>
  <si>
    <t xml:space="preserve">G0 X95 Y125 F6000</t>
  </si>
  <si>
    <t xml:space="preserve">M117 260°C // 23mm3/s</t>
  </si>
  <si>
    <t xml:space="preserve">G0 X95 Y145 Z15.5 F6000</t>
  </si>
  <si>
    <t xml:space="preserve">G0 X95 Y145 F6000</t>
  </si>
  <si>
    <t xml:space="preserve">M117 260°C // 26mm3/s</t>
  </si>
  <si>
    <t xml:space="preserve">G0 X95 Y165 Z15.5 F6000</t>
  </si>
  <si>
    <t xml:space="preserve">G0 X95 Y165 F6000</t>
  </si>
  <si>
    <t xml:space="preserve">M117 260°C // 29mm3/s</t>
  </si>
  <si>
    <t xml:space="preserve">G0 X95 Y185 Z15.5 F6000</t>
  </si>
  <si>
    <t xml:space="preserve">G0 X95 Y185 F6000</t>
  </si>
  <si>
    <t xml:space="preserve">;####### 280C</t>
  </si>
  <si>
    <t xml:space="preserve">M109 R280</t>
  </si>
  <si>
    <t xml:space="preserve">M117 280°C // 2mm3/s</t>
  </si>
  <si>
    <t xml:space="preserve">G0 X140 Y5 Z15.5 F6000</t>
  </si>
  <si>
    <t xml:space="preserve">G1 X155 E20 F120 ;Prime</t>
  </si>
  <si>
    <t xml:space="preserve">G0 X165 F6000 ; Wipe</t>
  </si>
  <si>
    <t xml:space="preserve">G0 X140 Y5 F6000</t>
  </si>
  <si>
    <t xml:space="preserve">M117 280°C // 5mm3/s</t>
  </si>
  <si>
    <t xml:space="preserve">G0 X140 Y25 Z15.5 F6000</t>
  </si>
  <si>
    <t xml:space="preserve">G0 X140 Y25 F6000</t>
  </si>
  <si>
    <t xml:space="preserve">M117 280°C // 8mm3/s</t>
  </si>
  <si>
    <t xml:space="preserve">G0 X140 Y45 Z15.5 F6000</t>
  </si>
  <si>
    <t xml:space="preserve">G0 X140 Y45 F6000</t>
  </si>
  <si>
    <t xml:space="preserve">M117 280°C // 11mm3/s</t>
  </si>
  <si>
    <t xml:space="preserve">G0 X140 Y65 Z15.5 F6000</t>
  </si>
  <si>
    <t xml:space="preserve">G0 X140 Y65 F6000</t>
  </si>
  <si>
    <t xml:space="preserve">M117 280°C // 14mm3/s</t>
  </si>
  <si>
    <t xml:space="preserve">G0 X140 Y85 Z15.5 F6000</t>
  </si>
  <si>
    <t xml:space="preserve">G0 X140 Y85 F6000</t>
  </si>
  <si>
    <t xml:space="preserve">M117 280°C // 17mm3/s</t>
  </si>
  <si>
    <t xml:space="preserve">G0 X140 Y105 Z15.5 F6000</t>
  </si>
  <si>
    <t xml:space="preserve">G0 X140 Y105 F6000</t>
  </si>
  <si>
    <t xml:space="preserve">M117 280°C // 20mm3/s</t>
  </si>
  <si>
    <t xml:space="preserve">G0 X140 Y125 Z15.5 F6000</t>
  </si>
  <si>
    <t xml:space="preserve">G0 X140 Y125 F6000</t>
  </si>
  <si>
    <t xml:space="preserve">M117 280°C // 23mm3/s</t>
  </si>
  <si>
    <t xml:space="preserve">G0 X140 Y145 Z15.5 F6000</t>
  </si>
  <si>
    <t xml:space="preserve">G0 X140 Y145 F6000</t>
  </si>
  <si>
    <t xml:space="preserve">M117 280°C // 26mm3/s</t>
  </si>
  <si>
    <t xml:space="preserve">G0 X140 Y165 Z15.5 F6000</t>
  </si>
  <si>
    <t xml:space="preserve">G0 X140 Y165 F6000</t>
  </si>
  <si>
    <t xml:space="preserve">M117 280°C // 29mm3/s</t>
  </si>
  <si>
    <t xml:space="preserve">G0 X140 Y185 Z15.5 F6000</t>
  </si>
  <si>
    <t xml:space="preserve">G0 X140 Y185 F6000</t>
  </si>
  <si>
    <t xml:space="preserve">;####### End G-Code</t>
  </si>
  <si>
    <t xml:space="preserve">G0 X175 Y175 ; Move to Corner</t>
  </si>
  <si>
    <t xml:space="preserve">M104 S0 T0 ; Turn Off Hotend</t>
  </si>
  <si>
    <t xml:space="preserve">M140 S0 ; Turn Off Bed</t>
  </si>
  <si>
    <t xml:space="preserve">M84</t>
  </si>
  <si>
    <t xml:space="preserve">Test 1</t>
  </si>
  <si>
    <t xml:space="preserve">Printer</t>
  </si>
  <si>
    <t xml:space="preserve">Ender-3 Pro</t>
  </si>
  <si>
    <t xml:space="preserve">Material</t>
  </si>
  <si>
    <t xml:space="preserve">DasFilament PLA</t>
  </si>
  <si>
    <t xml:space="preserve">Temperature / °C</t>
  </si>
  <si>
    <t xml:space="preserve">Brass 250</t>
  </si>
  <si>
    <t xml:space="preserve">Brass 260</t>
  </si>
  <si>
    <t xml:space="preserve">Volcano 250</t>
  </si>
  <si>
    <t xml:space="preserve">Volcano 260</t>
  </si>
  <si>
    <t xml:space="preserve">250 II</t>
  </si>
  <si>
    <t xml:space="preserve">260 II</t>
  </si>
  <si>
    <t xml:space="preserve">250 F50</t>
  </si>
  <si>
    <t xml:space="preserve">260 F50</t>
  </si>
  <si>
    <t xml:space="preserve">Vlc 250 F50</t>
  </si>
  <si>
    <t xml:space="preserve">Vlc 260 F50</t>
  </si>
  <si>
    <t xml:space="preserve">Baseline extrusion</t>
  </si>
  <si>
    <t xml:space="preserve">Baseline deviation</t>
  </si>
  <si>
    <t xml:space="preserve">Flow rate / mm³/s</t>
  </si>
  <si>
    <t xml:space="preserve">weights / g</t>
  </si>
  <si>
    <t xml:space="preserve">Input</t>
  </si>
  <si>
    <t xml:space="preserve">Underextrusion Amount</t>
  </si>
  <si>
    <t xml:space="preserve">Real Flow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</si>
</sst>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"/>
    <numFmt numFmtId="166" formatCode="@"/>
    <numFmt numFmtId="167" formatCode="0.000"/>
    <numFmt numFmtId="168" formatCode="0.0%"/>
    <numFmt numFmtId="169" formatCode="0%"/>
    <numFmt numFmtId="170" formatCode="0.0"/>
  </numFmts>
  <fonts count="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i val="true"/>
      <sz val="11"/>
      <color rgb="FF000000"/>
      <name val="Calibri"/>
      <family val="2"/>
      <charset val="1"/>
    </font>
    <font>
      <b val="true"/>
      <i val="true"/>
      <sz val="11"/>
      <color rgb="FF000000"/>
      <name val="Calibri"/>
      <family val="2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9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9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3CAFF"/>
      <rgbColor rgb="FFFF99CC"/>
      <rgbColor rgb="FFCC99FF"/>
      <rgbColor rgb="FFFFCC99"/>
      <rgbColor rgb="FF3366FF"/>
      <rgbColor rgb="FF33CCCC"/>
      <rgbColor rgb="FFAECF00"/>
      <rgbColor rgb="FFFFD320"/>
      <rgbColor rgb="FFFF950E"/>
      <rgbColor rgb="FFFF6600"/>
      <rgbColor rgb="FF666699"/>
      <rgbColor rgb="FF969696"/>
      <rgbColor rgb="FF003366"/>
      <rgbColor rgb="FF579D1C"/>
      <rgbColor rgb="FF003300"/>
      <rgbColor rgb="FF314004"/>
      <rgbColor rgb="FF993300"/>
      <rgbColor rgb="FF993366"/>
      <rgbColor rgb="FF4B1F6F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ineChart>
        <c:grouping val="standard"/>
        <c:varyColors val="0"/>
        <c:ser>
          <c:idx val="0"/>
          <c:order val="0"/>
          <c:tx>
            <c:strRef>
              <c:f>SampleEvaluation!$D$19</c:f>
              <c:strCache>
                <c:ptCount val="1"/>
                <c:pt idx="0">
                  <c:v>250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SampleEvaluation!$B$20:$B$29</c:f>
              <c:strCache>
                <c:ptCount val="10"/>
                <c:pt idx="0">
                  <c:v>2</c:v>
                </c:pt>
                <c:pt idx="1">
                  <c:v>5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17</c:v>
                </c:pt>
                <c:pt idx="6">
                  <c:v>20</c:v>
                </c:pt>
                <c:pt idx="7">
                  <c:v>23</c:v>
                </c:pt>
                <c:pt idx="8">
                  <c:v>26</c:v>
                </c:pt>
                <c:pt idx="9">
                  <c:v>29</c:v>
                </c:pt>
              </c:strCache>
            </c:strRef>
          </c:cat>
          <c:val>
            <c:numRef>
              <c:f>SampleEvaluation!$D$20:$D$29</c:f>
              <c:numCache>
                <c:formatCode>General</c:formatCode>
                <c:ptCount val="10"/>
                <c:pt idx="0">
                  <c:v>-0.0990415335463259</c:v>
                </c:pt>
                <c:pt idx="1">
                  <c:v>-0.0990415335463259</c:v>
                </c:pt>
                <c:pt idx="2">
                  <c:v>-0.10223642172524</c:v>
                </c:pt>
                <c:pt idx="3">
                  <c:v>-0.0926517571884985</c:v>
                </c:pt>
                <c:pt idx="4">
                  <c:v>-0.105431309904153</c:v>
                </c:pt>
                <c:pt idx="5">
                  <c:v>-0.100638977635783</c:v>
                </c:pt>
                <c:pt idx="6">
                  <c:v>-0.105431309904153</c:v>
                </c:pt>
                <c:pt idx="7">
                  <c:v>-0.0958466453674123</c:v>
                </c:pt>
                <c:pt idx="8">
                  <c:v>-0.115015974440895</c:v>
                </c:pt>
                <c:pt idx="9">
                  <c:v>-0.134185303514377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SampleEvaluation!$E$19</c:f>
              <c:strCache>
                <c:ptCount val="1"/>
                <c:pt idx="0">
                  <c:v>260</c:v>
                </c:pt>
              </c:strCache>
            </c:strRef>
          </c:tx>
          <c:spPr>
            <a:solidFill>
              <a:srgbClr val="579d1c"/>
            </a:solidFill>
            <a:ln w="28800">
              <a:solidFill>
                <a:srgbClr val="579d1c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SampleEvaluation!$B$20:$B$29</c:f>
              <c:strCache>
                <c:ptCount val="10"/>
                <c:pt idx="0">
                  <c:v>2</c:v>
                </c:pt>
                <c:pt idx="1">
                  <c:v>5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17</c:v>
                </c:pt>
                <c:pt idx="6">
                  <c:v>20</c:v>
                </c:pt>
                <c:pt idx="7">
                  <c:v>23</c:v>
                </c:pt>
                <c:pt idx="8">
                  <c:v>26</c:v>
                </c:pt>
                <c:pt idx="9">
                  <c:v>29</c:v>
                </c:pt>
              </c:strCache>
            </c:strRef>
          </c:cat>
          <c:val>
            <c:numRef>
              <c:f>SampleEvaluation!$E$20:$E$29</c:f>
              <c:numCache>
                <c:formatCode>General</c:formatCode>
                <c:ptCount val="10"/>
                <c:pt idx="0">
                  <c:v>-0.0926517571884985</c:v>
                </c:pt>
                <c:pt idx="1">
                  <c:v>-0.0894568690095847</c:v>
                </c:pt>
                <c:pt idx="2">
                  <c:v>-0.0894568690095847</c:v>
                </c:pt>
                <c:pt idx="3">
                  <c:v>-0.0894568690095847</c:v>
                </c:pt>
                <c:pt idx="4">
                  <c:v>-0.0942492012779553</c:v>
                </c:pt>
                <c:pt idx="5">
                  <c:v>-0.0830670926517573</c:v>
                </c:pt>
                <c:pt idx="6">
                  <c:v>-0.0974440894568691</c:v>
                </c:pt>
                <c:pt idx="7">
                  <c:v>-0.0702875399361023</c:v>
                </c:pt>
                <c:pt idx="8">
                  <c:v>-0.105431309904153</c:v>
                </c:pt>
                <c:pt idx="9">
                  <c:v>-0.115015974440895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SampleEvaluation!$G$19</c:f>
              <c:strCache>
                <c:ptCount val="1"/>
                <c:pt idx="0">
                  <c:v>Brass 250</c:v>
                </c:pt>
              </c:strCache>
            </c:strRef>
          </c:tx>
          <c:spPr>
            <a:solidFill>
              <a:srgbClr val="83caff"/>
            </a:solidFill>
            <a:ln w="28800">
              <a:solidFill>
                <a:srgbClr val="83caff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SampleEvaluation!$B$20:$B$29</c:f>
              <c:strCache>
                <c:ptCount val="10"/>
                <c:pt idx="0">
                  <c:v>2</c:v>
                </c:pt>
                <c:pt idx="1">
                  <c:v>5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17</c:v>
                </c:pt>
                <c:pt idx="6">
                  <c:v>20</c:v>
                </c:pt>
                <c:pt idx="7">
                  <c:v>23</c:v>
                </c:pt>
                <c:pt idx="8">
                  <c:v>26</c:v>
                </c:pt>
                <c:pt idx="9">
                  <c:v>29</c:v>
                </c:pt>
              </c:strCache>
            </c:strRef>
          </c:cat>
          <c:val>
            <c:numRef>
              <c:f>SampleEvaluation!$G$20:$G$29</c:f>
              <c:numCache>
                <c:formatCode>General</c:formatCode>
                <c:ptCount val="10"/>
                <c:pt idx="0">
                  <c:v>-0.0415335463258786</c:v>
                </c:pt>
                <c:pt idx="1">
                  <c:v>-0.060702875399361</c:v>
                </c:pt>
                <c:pt idx="2">
                  <c:v>-0.0415335463258786</c:v>
                </c:pt>
                <c:pt idx="3">
                  <c:v>-0.062300319488818</c:v>
                </c:pt>
                <c:pt idx="4">
                  <c:v>-0.0527156549520768</c:v>
                </c:pt>
                <c:pt idx="5">
                  <c:v>-0.062300319488818</c:v>
                </c:pt>
                <c:pt idx="6">
                  <c:v>-0.0575079872204474</c:v>
                </c:pt>
                <c:pt idx="7">
                  <c:v>-0.062300319488818</c:v>
                </c:pt>
                <c:pt idx="8">
                  <c:v>-0.062300319488818</c:v>
                </c:pt>
                <c:pt idx="9">
                  <c:v>-0.0830670926517573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SampleEvaluation!$H$19</c:f>
              <c:strCache>
                <c:ptCount val="1"/>
                <c:pt idx="0">
                  <c:v>Brass 260</c:v>
                </c:pt>
              </c:strCache>
            </c:strRef>
          </c:tx>
          <c:spPr>
            <a:solidFill>
              <a:srgbClr val="83caff"/>
            </a:solidFill>
            <a:ln w="28800">
              <a:solidFill>
                <a:srgbClr val="83caff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SampleEvaluation!$B$20:$B$29</c:f>
              <c:strCache>
                <c:ptCount val="10"/>
                <c:pt idx="0">
                  <c:v>2</c:v>
                </c:pt>
                <c:pt idx="1">
                  <c:v>5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17</c:v>
                </c:pt>
                <c:pt idx="6">
                  <c:v>20</c:v>
                </c:pt>
                <c:pt idx="7">
                  <c:v>23</c:v>
                </c:pt>
                <c:pt idx="8">
                  <c:v>26</c:v>
                </c:pt>
                <c:pt idx="9">
                  <c:v>29</c:v>
                </c:pt>
              </c:strCache>
            </c:strRef>
          </c:cat>
          <c:val>
            <c:numRef>
              <c:f>SampleEvaluation!$H$20:$H$29</c:f>
              <c:numCache>
                <c:formatCode>General</c:formatCode>
                <c:ptCount val="10"/>
                <c:pt idx="0">
                  <c:v>-0.0479233226837061</c:v>
                </c:pt>
                <c:pt idx="1">
                  <c:v>-0.0591054313099042</c:v>
                </c:pt>
                <c:pt idx="2">
                  <c:v>-0.0559105431309904</c:v>
                </c:pt>
                <c:pt idx="3">
                  <c:v>-0.0591054313099042</c:v>
                </c:pt>
                <c:pt idx="4">
                  <c:v>-0.0575079872204474</c:v>
                </c:pt>
                <c:pt idx="5">
                  <c:v>-0.0686900958466454</c:v>
                </c:pt>
                <c:pt idx="6">
                  <c:v>-0.0638977635782748</c:v>
                </c:pt>
                <c:pt idx="7">
                  <c:v>-0.0702875399361023</c:v>
                </c:pt>
                <c:pt idx="8">
                  <c:v>-0.073482428115016</c:v>
                </c:pt>
                <c:pt idx="9">
                  <c:v>-0.0878594249201279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SampleEvaluation!$I$19</c:f>
              <c:strCache>
                <c:ptCount val="1"/>
                <c:pt idx="0">
                  <c:v>Volcano 250</c:v>
                </c:pt>
              </c:strCache>
            </c:strRef>
          </c:tx>
          <c:spPr>
            <a:solidFill>
              <a:srgbClr val="314004"/>
            </a:solidFill>
            <a:ln w="28800">
              <a:solidFill>
                <a:srgbClr val="314004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SampleEvaluation!$B$20:$B$29</c:f>
              <c:strCache>
                <c:ptCount val="10"/>
                <c:pt idx="0">
                  <c:v>2</c:v>
                </c:pt>
                <c:pt idx="1">
                  <c:v>5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17</c:v>
                </c:pt>
                <c:pt idx="6">
                  <c:v>20</c:v>
                </c:pt>
                <c:pt idx="7">
                  <c:v>23</c:v>
                </c:pt>
                <c:pt idx="8">
                  <c:v>26</c:v>
                </c:pt>
                <c:pt idx="9">
                  <c:v>29</c:v>
                </c:pt>
              </c:strCache>
            </c:strRef>
          </c:cat>
          <c:val>
            <c:numRef>
              <c:f>SampleEvaluation!$I$20:$I$29</c:f>
              <c:numCache>
                <c:formatCode>General</c:formatCode>
                <c:ptCount val="10"/>
                <c:pt idx="0">
                  <c:v>-0.0750798722044729</c:v>
                </c:pt>
                <c:pt idx="1">
                  <c:v>-0.0814696485623004</c:v>
                </c:pt>
                <c:pt idx="2">
                  <c:v>-0.0846645367412141</c:v>
                </c:pt>
                <c:pt idx="3">
                  <c:v>-0.0782747603833867</c:v>
                </c:pt>
                <c:pt idx="4">
                  <c:v>-0.0830670926517573</c:v>
                </c:pt>
                <c:pt idx="5">
                  <c:v>-0.0846645367412141</c:v>
                </c:pt>
                <c:pt idx="6">
                  <c:v>-0.0798722044728435</c:v>
                </c:pt>
                <c:pt idx="7">
                  <c:v>-0.0814696485623004</c:v>
                </c:pt>
                <c:pt idx="8">
                  <c:v>-0.0846645367412141</c:v>
                </c:pt>
                <c:pt idx="9">
                  <c:v>-0.123003194888179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SampleEvaluation!$J$19</c:f>
              <c:strCache>
                <c:ptCount val="1"/>
                <c:pt idx="0">
                  <c:v>Volcano 260</c:v>
                </c:pt>
              </c:strCache>
            </c:strRef>
          </c:tx>
          <c:spPr>
            <a:solidFill>
              <a:srgbClr val="aecf00"/>
            </a:solidFill>
            <a:ln w="28800">
              <a:solidFill>
                <a:srgbClr val="aecf00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SampleEvaluation!$B$20:$B$29</c:f>
              <c:strCache>
                <c:ptCount val="10"/>
                <c:pt idx="0">
                  <c:v>2</c:v>
                </c:pt>
                <c:pt idx="1">
                  <c:v>5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17</c:v>
                </c:pt>
                <c:pt idx="6">
                  <c:v>20</c:v>
                </c:pt>
                <c:pt idx="7">
                  <c:v>23</c:v>
                </c:pt>
                <c:pt idx="8">
                  <c:v>26</c:v>
                </c:pt>
                <c:pt idx="9">
                  <c:v>29</c:v>
                </c:pt>
              </c:strCache>
            </c:strRef>
          </c:cat>
          <c:val>
            <c:numRef>
              <c:f>SampleEvaluation!$J$20:$J$29</c:f>
              <c:numCache>
                <c:formatCode>General</c:formatCode>
                <c:ptCount val="10"/>
                <c:pt idx="0">
                  <c:v>-0.0702875399361023</c:v>
                </c:pt>
                <c:pt idx="1">
                  <c:v>-0.0798722044728435</c:v>
                </c:pt>
                <c:pt idx="2">
                  <c:v>-0.0702875399361023</c:v>
                </c:pt>
                <c:pt idx="3">
                  <c:v>-0.0830670926517573</c:v>
                </c:pt>
                <c:pt idx="4">
                  <c:v>-0.073482428115016</c:v>
                </c:pt>
                <c:pt idx="5">
                  <c:v>-0.0798722044728435</c:v>
                </c:pt>
                <c:pt idx="6">
                  <c:v>-0.0750798722044729</c:v>
                </c:pt>
                <c:pt idx="7">
                  <c:v>-0.086261980830671</c:v>
                </c:pt>
                <c:pt idx="8">
                  <c:v>-0.124600638977636</c:v>
                </c:pt>
                <c:pt idx="9">
                  <c:v>-0.115015974440895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SampleEvaluation!$K$19</c:f>
              <c:strCache>
                <c:ptCount val="1"/>
                <c:pt idx="0">
                  <c:v>250 II</c:v>
                </c:pt>
              </c:strCache>
            </c:strRef>
          </c:tx>
          <c:spPr>
            <a:solidFill>
              <a:srgbClr val="4b1f6f"/>
            </a:solidFill>
            <a:ln w="28800">
              <a:solidFill>
                <a:srgbClr val="4b1f6f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SampleEvaluation!$B$20:$B$29</c:f>
              <c:strCache>
                <c:ptCount val="10"/>
                <c:pt idx="0">
                  <c:v>2</c:v>
                </c:pt>
                <c:pt idx="1">
                  <c:v>5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17</c:v>
                </c:pt>
                <c:pt idx="6">
                  <c:v>20</c:v>
                </c:pt>
                <c:pt idx="7">
                  <c:v>23</c:v>
                </c:pt>
                <c:pt idx="8">
                  <c:v>26</c:v>
                </c:pt>
                <c:pt idx="9">
                  <c:v>29</c:v>
                </c:pt>
              </c:strCache>
            </c:strRef>
          </c:cat>
          <c:val>
            <c:numRef>
              <c:f>SampleEvaluation!$K$20:$K$29</c:f>
              <c:numCache>
                <c:formatCode>General</c:formatCode>
                <c:ptCount val="10"/>
                <c:pt idx="0">
                  <c:v>-0.103833865814696</c:v>
                </c:pt>
                <c:pt idx="1">
                  <c:v>-0.110223642172524</c:v>
                </c:pt>
                <c:pt idx="2">
                  <c:v>-0.116613418530351</c:v>
                </c:pt>
                <c:pt idx="3">
                  <c:v>-0.118210862619808</c:v>
                </c:pt>
                <c:pt idx="4">
                  <c:v>-0.115015974440895</c:v>
                </c:pt>
                <c:pt idx="5">
                  <c:v>-0.111821086261981</c:v>
                </c:pt>
                <c:pt idx="6">
                  <c:v>-0.111821086261981</c:v>
                </c:pt>
                <c:pt idx="7">
                  <c:v>-0.108626198083067</c:v>
                </c:pt>
                <c:pt idx="8">
                  <c:v>-0.130990415335463</c:v>
                </c:pt>
                <c:pt idx="9">
                  <c:v>-0.146964856230032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SampleEvaluation!$L$19</c:f>
              <c:strCache>
                <c:ptCount val="1"/>
                <c:pt idx="0">
                  <c:v>260 II</c:v>
                </c:pt>
              </c:strCache>
            </c:strRef>
          </c:tx>
          <c:spPr>
            <a:solidFill>
              <a:srgbClr val="ff950e"/>
            </a:solidFill>
            <a:ln w="28800">
              <a:solidFill>
                <a:srgbClr val="ff950e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SampleEvaluation!$B$20:$B$29</c:f>
              <c:strCache>
                <c:ptCount val="10"/>
                <c:pt idx="0">
                  <c:v>2</c:v>
                </c:pt>
                <c:pt idx="1">
                  <c:v>5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17</c:v>
                </c:pt>
                <c:pt idx="6">
                  <c:v>20</c:v>
                </c:pt>
                <c:pt idx="7">
                  <c:v>23</c:v>
                </c:pt>
                <c:pt idx="8">
                  <c:v>26</c:v>
                </c:pt>
                <c:pt idx="9">
                  <c:v>29</c:v>
                </c:pt>
              </c:strCache>
            </c:strRef>
          </c:cat>
          <c:val>
            <c:numRef>
              <c:f>SampleEvaluation!$L$20:$L$29</c:f>
              <c:numCache>
                <c:formatCode>General</c:formatCode>
                <c:ptCount val="10"/>
                <c:pt idx="0">
                  <c:v>-0.0974440894568691</c:v>
                </c:pt>
                <c:pt idx="1">
                  <c:v>-0.0958466453674123</c:v>
                </c:pt>
                <c:pt idx="2">
                  <c:v>-0.108626198083067</c:v>
                </c:pt>
                <c:pt idx="3">
                  <c:v>-0.0958466453674123</c:v>
                </c:pt>
                <c:pt idx="4">
                  <c:v>-0.108626198083067</c:v>
                </c:pt>
                <c:pt idx="5">
                  <c:v>-0.0974440894568691</c:v>
                </c:pt>
                <c:pt idx="6">
                  <c:v>-0.105431309904153</c:v>
                </c:pt>
                <c:pt idx="7">
                  <c:v>-0.0894568690095847</c:v>
                </c:pt>
                <c:pt idx="8">
                  <c:v>-0.105431309904153</c:v>
                </c:pt>
                <c:pt idx="9">
                  <c:v>-0.10702875399361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99603250"/>
        <c:axId val="79346582"/>
      </c:lineChart>
      <c:catAx>
        <c:axId val="99603250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9346582"/>
        <c:crosses val="autoZero"/>
        <c:auto val="1"/>
        <c:lblAlgn val="ctr"/>
        <c:lblOffset val="100"/>
        <c:noMultiLvlLbl val="0"/>
      </c:catAx>
      <c:valAx>
        <c:axId val="79346582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0.0%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9603250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21.jpeg"/><Relationship Id="rId2" Type="http://schemas.openxmlformats.org/officeDocument/2006/relationships/image" Target="../media/image22.jpe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16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198000</xdr:colOff>
      <xdr:row>0</xdr:row>
      <xdr:rowOff>114480</xdr:rowOff>
    </xdr:from>
    <xdr:to>
      <xdr:col>13</xdr:col>
      <xdr:colOff>252720</xdr:colOff>
      <xdr:row>24</xdr:row>
      <xdr:rowOff>45000</xdr:rowOff>
    </xdr:to>
    <xdr:pic>
      <xdr:nvPicPr>
        <xdr:cNvPr id="0" name="Grafik 1" descr=""/>
        <xdr:cNvPicPr/>
      </xdr:nvPicPr>
      <xdr:blipFill>
        <a:blip r:embed="rId1"/>
        <a:stretch/>
      </xdr:blipFill>
      <xdr:spPr>
        <a:xfrm>
          <a:off x="7567920" y="114480"/>
          <a:ext cx="6006600" cy="4319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6</xdr:col>
      <xdr:colOff>38160</xdr:colOff>
      <xdr:row>24</xdr:row>
      <xdr:rowOff>76320</xdr:rowOff>
    </xdr:from>
    <xdr:to>
      <xdr:col>13</xdr:col>
      <xdr:colOff>700200</xdr:colOff>
      <xdr:row>54</xdr:row>
      <xdr:rowOff>20520</xdr:rowOff>
    </xdr:to>
    <xdr:pic>
      <xdr:nvPicPr>
        <xdr:cNvPr id="1" name="Grafik 2" descr=""/>
        <xdr:cNvPicPr/>
      </xdr:nvPicPr>
      <xdr:blipFill>
        <a:blip r:embed="rId2"/>
        <a:stretch/>
      </xdr:blipFill>
      <xdr:spPr>
        <a:xfrm>
          <a:off x="7408080" y="4465440"/>
          <a:ext cx="6613920" cy="54306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293040</xdr:colOff>
      <xdr:row>42</xdr:row>
      <xdr:rowOff>15480</xdr:rowOff>
    </xdr:from>
    <xdr:to>
      <xdr:col>11</xdr:col>
      <xdr:colOff>707400</xdr:colOff>
      <xdr:row>70</xdr:row>
      <xdr:rowOff>162000</xdr:rowOff>
    </xdr:to>
    <xdr:graphicFrame>
      <xdr:nvGraphicFramePr>
        <xdr:cNvPr id="2" name=""/>
        <xdr:cNvGraphicFramePr/>
      </xdr:nvGraphicFramePr>
      <xdr:xfrm>
        <a:off x="576720" y="7437240"/>
        <a:ext cx="9594000" cy="5267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38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B35" activeCellId="1" sqref="B19:P29 B35"/>
    </sheetView>
  </sheetViews>
  <sheetFormatPr defaultColWidth="10.62890625" defaultRowHeight="14.4" zeroHeight="false" outlineLevelRow="0" outlineLevelCol="0"/>
  <cols>
    <col collapsed="false" customWidth="true" hidden="false" outlineLevel="0" max="1" min="1" style="0" width="22.33"/>
    <col collapsed="false" customWidth="true" hidden="false" outlineLevel="0" max="3" min="3" style="0" width="27.33"/>
  </cols>
  <sheetData>
    <row r="1" customFormat="false" ht="14.4" hidden="false" customHeight="false" outlineLevel="0" collapsed="false">
      <c r="A1" s="1" t="s">
        <v>0</v>
      </c>
      <c r="B1" s="1"/>
      <c r="C1" s="1"/>
    </row>
    <row r="2" customFormat="false" ht="14.4" hidden="false" customHeight="false" outlineLevel="0" collapsed="false">
      <c r="A2" s="0" t="s">
        <v>1</v>
      </c>
      <c r="B2" s="0" t="n">
        <v>180</v>
      </c>
      <c r="C2" s="0" t="s">
        <v>2</v>
      </c>
    </row>
    <row r="3" customFormat="false" ht="14.4" hidden="false" customHeight="false" outlineLevel="0" collapsed="false">
      <c r="A3" s="0" t="s">
        <v>3</v>
      </c>
      <c r="B3" s="0" t="n">
        <v>180</v>
      </c>
      <c r="C3" s="0" t="s">
        <v>2</v>
      </c>
    </row>
    <row r="4" customFormat="false" ht="14.4" hidden="false" customHeight="false" outlineLevel="0" collapsed="false">
      <c r="A4" s="0" t="s">
        <v>4</v>
      </c>
      <c r="B4" s="0" t="n">
        <v>5</v>
      </c>
      <c r="C4" s="0" t="s">
        <v>2</v>
      </c>
    </row>
    <row r="5" customFormat="false" ht="14.4" hidden="false" customHeight="false" outlineLevel="0" collapsed="false">
      <c r="A5" s="0" t="s">
        <v>5</v>
      </c>
      <c r="B5" s="0" t="n">
        <v>1.75</v>
      </c>
      <c r="C5" s="0" t="s">
        <v>2</v>
      </c>
    </row>
    <row r="6" customFormat="false" ht="14.4" hidden="false" customHeight="false" outlineLevel="0" collapsed="false">
      <c r="A6" s="0" t="s">
        <v>6</v>
      </c>
      <c r="B6" s="0" t="n">
        <v>100</v>
      </c>
      <c r="C6" s="0" t="s">
        <v>7</v>
      </c>
    </row>
    <row r="7" customFormat="false" ht="14.4" hidden="false" customHeight="false" outlineLevel="0" collapsed="false">
      <c r="A7" s="0" t="s">
        <v>8</v>
      </c>
      <c r="B7" s="0" t="n">
        <v>20</v>
      </c>
      <c r="C7" s="0" t="s">
        <v>9</v>
      </c>
    </row>
    <row r="8" customFormat="false" ht="14.4" hidden="false" customHeight="false" outlineLevel="0" collapsed="false">
      <c r="A8" s="0" t="s">
        <v>10</v>
      </c>
      <c r="B8" s="0" t="n">
        <v>70</v>
      </c>
      <c r="C8" s="0" t="s">
        <v>11</v>
      </c>
    </row>
    <row r="9" customFormat="false" ht="14.4" hidden="false" customHeight="false" outlineLevel="0" collapsed="false">
      <c r="A9" s="0" t="s">
        <v>12</v>
      </c>
      <c r="B9" s="0" t="n">
        <v>0</v>
      </c>
      <c r="C9" s="0" t="s">
        <v>13</v>
      </c>
    </row>
    <row r="11" customFormat="false" ht="14.4" hidden="false" customHeight="false" outlineLevel="0" collapsed="false">
      <c r="A11" s="0" t="s">
        <v>14</v>
      </c>
      <c r="B11" s="0" t="n">
        <v>15</v>
      </c>
      <c r="C11" s="0" t="s">
        <v>2</v>
      </c>
    </row>
    <row r="12" customFormat="false" ht="14.4" hidden="false" customHeight="false" outlineLevel="0" collapsed="false">
      <c r="A12" s="0" t="s">
        <v>15</v>
      </c>
      <c r="B12" s="0" t="n">
        <v>20</v>
      </c>
      <c r="C12" s="0" t="s">
        <v>2</v>
      </c>
      <c r="D12" s="2" t="s">
        <v>16</v>
      </c>
      <c r="E12" s="2"/>
    </row>
    <row r="13" customFormat="false" ht="14.4" hidden="false" customHeight="false" outlineLevel="0" collapsed="false">
      <c r="A13" s="0" t="s">
        <v>17</v>
      </c>
      <c r="B13" s="0" t="n">
        <v>2</v>
      </c>
      <c r="C13" s="0" t="s">
        <v>7</v>
      </c>
      <c r="D13" s="3" t="n">
        <f aca="false">B12/(B11/B13)*PI()/4*B5^2</f>
        <v>6.41408500107916</v>
      </c>
      <c r="E13" s="0" t="s">
        <v>18</v>
      </c>
    </row>
    <row r="14" customFormat="false" ht="14.4" hidden="false" customHeight="false" outlineLevel="0" collapsed="false">
      <c r="A14" s="0" t="s">
        <v>19</v>
      </c>
      <c r="B14" s="0" t="n">
        <v>10</v>
      </c>
      <c r="C14" s="0" t="s">
        <v>2</v>
      </c>
    </row>
    <row r="15" customFormat="false" ht="14.4" hidden="false" customHeight="false" outlineLevel="0" collapsed="false">
      <c r="A15" s="0" t="s">
        <v>20</v>
      </c>
      <c r="B15" s="0" t="n">
        <v>1</v>
      </c>
      <c r="C15" s="0" t="s">
        <v>2</v>
      </c>
    </row>
    <row r="16" customFormat="false" ht="14.4" hidden="false" customHeight="false" outlineLevel="0" collapsed="false">
      <c r="A16" s="0" t="s">
        <v>21</v>
      </c>
      <c r="B16" s="0" t="n">
        <v>50</v>
      </c>
      <c r="C16" s="0" t="s">
        <v>7</v>
      </c>
    </row>
    <row r="18" customFormat="false" ht="14.4" hidden="false" customHeight="false" outlineLevel="0" collapsed="false">
      <c r="A18" s="0" t="s">
        <v>22</v>
      </c>
      <c r="B18" s="0" t="n">
        <v>10</v>
      </c>
      <c r="C18" s="0" t="s">
        <v>2</v>
      </c>
    </row>
    <row r="19" customFormat="false" ht="14.4" hidden="false" customHeight="false" outlineLevel="0" collapsed="false">
      <c r="A19" s="0" t="s">
        <v>23</v>
      </c>
      <c r="B19" s="0" t="n">
        <v>200</v>
      </c>
      <c r="C19" s="0" t="s">
        <v>2</v>
      </c>
    </row>
    <row r="21" customFormat="false" ht="14.4" hidden="false" customHeight="false" outlineLevel="0" collapsed="false">
      <c r="A21" s="0" t="s">
        <v>24</v>
      </c>
      <c r="B21" s="0" t="n">
        <v>1</v>
      </c>
      <c r="C21" s="0" t="s">
        <v>25</v>
      </c>
    </row>
    <row r="22" customFormat="false" ht="14.4" hidden="false" customHeight="false" outlineLevel="0" collapsed="false">
      <c r="A22" s="0" t="s">
        <v>26</v>
      </c>
      <c r="B22" s="0" t="n">
        <v>20</v>
      </c>
      <c r="C22" s="0" t="s">
        <v>2</v>
      </c>
    </row>
    <row r="23" customFormat="false" ht="14.4" hidden="false" customHeight="false" outlineLevel="0" collapsed="false">
      <c r="A23" s="0" t="s">
        <v>27</v>
      </c>
      <c r="B23" s="0" t="n">
        <v>20</v>
      </c>
      <c r="C23" s="0" t="s">
        <v>2</v>
      </c>
    </row>
    <row r="25" customFormat="false" ht="14.4" hidden="false" customHeight="false" outlineLevel="0" collapsed="false">
      <c r="A25" s="1" t="s">
        <v>28</v>
      </c>
      <c r="B25" s="1"/>
      <c r="C25" s="1"/>
    </row>
    <row r="26" customFormat="false" ht="14.4" hidden="false" customHeight="false" outlineLevel="0" collapsed="false">
      <c r="A26" s="4" t="s">
        <v>29</v>
      </c>
      <c r="B26" s="4"/>
    </row>
    <row r="27" customFormat="false" ht="14.4" hidden="false" customHeight="false" outlineLevel="0" collapsed="false">
      <c r="A27" s="0" t="s">
        <v>30</v>
      </c>
      <c r="B27" s="0" t="n">
        <v>2</v>
      </c>
      <c r="C27" s="0" t="s">
        <v>18</v>
      </c>
    </row>
    <row r="28" customFormat="false" ht="14.4" hidden="false" customHeight="false" outlineLevel="0" collapsed="false">
      <c r="A28" s="0" t="s">
        <v>31</v>
      </c>
      <c r="B28" s="0" t="n">
        <v>3</v>
      </c>
      <c r="C28" s="0" t="s">
        <v>18</v>
      </c>
    </row>
    <row r="29" customFormat="false" ht="14.4" hidden="false" customHeight="false" outlineLevel="0" collapsed="false">
      <c r="A29" s="0" t="s">
        <v>32</v>
      </c>
      <c r="B29" s="0" t="n">
        <v>10</v>
      </c>
    </row>
    <row r="30" customFormat="false" ht="14.4" hidden="false" customHeight="false" outlineLevel="0" collapsed="false">
      <c r="A30" s="0" t="s">
        <v>33</v>
      </c>
      <c r="B30" s="0" t="n">
        <f aca="false">B27+(B29-1)*B28</f>
        <v>29</v>
      </c>
      <c r="C30" s="0" t="s">
        <v>18</v>
      </c>
    </row>
    <row r="32" customFormat="false" ht="14.4" hidden="false" customHeight="false" outlineLevel="0" collapsed="false">
      <c r="A32" s="2" t="s">
        <v>34</v>
      </c>
      <c r="B32" s="2"/>
    </row>
    <row r="33" customFormat="false" ht="14.4" hidden="false" customHeight="false" outlineLevel="0" collapsed="false">
      <c r="A33" s="0" t="s">
        <v>35</v>
      </c>
      <c r="B33" s="0" t="n">
        <v>240</v>
      </c>
      <c r="C33" s="0" t="s">
        <v>11</v>
      </c>
    </row>
    <row r="34" customFormat="false" ht="14.4" hidden="false" customHeight="false" outlineLevel="0" collapsed="false">
      <c r="A34" s="0" t="s">
        <v>31</v>
      </c>
      <c r="B34" s="0" t="n">
        <v>10</v>
      </c>
      <c r="C34" s="0" t="s">
        <v>36</v>
      </c>
    </row>
    <row r="35" customFormat="false" ht="14.4" hidden="false" customHeight="false" outlineLevel="0" collapsed="false">
      <c r="A35" s="0" t="s">
        <v>32</v>
      </c>
      <c r="B35" s="0" t="n">
        <v>2</v>
      </c>
      <c r="D35" s="0" t="s">
        <v>37</v>
      </c>
    </row>
    <row r="36" customFormat="false" ht="14.4" hidden="false" customHeight="false" outlineLevel="0" collapsed="false">
      <c r="A36" s="0" t="s">
        <v>33</v>
      </c>
      <c r="B36" s="0" t="n">
        <f aca="false">B33+(B35-1)*B34</f>
        <v>250</v>
      </c>
      <c r="C36" s="0" t="s">
        <v>11</v>
      </c>
    </row>
    <row r="38" customFormat="false" ht="14.4" hidden="false" customHeight="true" outlineLevel="0" collapsed="false">
      <c r="A38" s="0" t="s">
        <v>38</v>
      </c>
      <c r="B38" s="5" t="s">
        <v>39</v>
      </c>
      <c r="C38" s="5"/>
    </row>
  </sheetData>
  <mergeCells count="6">
    <mergeCell ref="A1:C1"/>
    <mergeCell ref="D12:E12"/>
    <mergeCell ref="A25:C25"/>
    <mergeCell ref="A26:B26"/>
    <mergeCell ref="A32:B32"/>
    <mergeCell ref="B38:C38"/>
  </mergeCells>
  <printOptions headings="false" gridLines="false" gridLinesSet="true" horizontalCentered="false" verticalCentered="false"/>
  <pageMargins left="0.7" right="0.7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70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4" activeCellId="1" sqref="B19:P29 D14"/>
    </sheetView>
  </sheetViews>
  <sheetFormatPr defaultColWidth="10.62890625" defaultRowHeight="13.8" zeroHeight="false" outlineLevelRow="0" outlineLevelCol="0"/>
  <cols>
    <col collapsed="false" customWidth="true" hidden="false" outlineLevel="0" max="1" min="1" style="0" width="61.22"/>
  </cols>
  <sheetData>
    <row r="1" customFormat="false" ht="13.8" hidden="false" customHeight="false" outlineLevel="0" collapsed="false">
      <c r="A1" s="0" t="s">
        <v>40</v>
      </c>
    </row>
    <row r="2" customFormat="false" ht="13.8" hidden="false" customHeight="false" outlineLevel="0" collapsed="false">
      <c r="A2" s="0" t="s">
        <v>41</v>
      </c>
    </row>
    <row r="4" customFormat="false" ht="13.8" hidden="false" customHeight="false" outlineLevel="0" collapsed="false">
      <c r="A4" s="0" t="s">
        <v>42</v>
      </c>
    </row>
    <row r="5" customFormat="false" ht="13.8" hidden="false" customHeight="false" outlineLevel="0" collapsed="false">
      <c r="A5" s="0" t="s">
        <v>43</v>
      </c>
    </row>
    <row r="6" customFormat="false" ht="13.8" hidden="false" customHeight="false" outlineLevel="0" collapsed="false">
      <c r="A6" s="0" t="s">
        <v>44</v>
      </c>
    </row>
    <row r="7" customFormat="false" ht="13.8" hidden="false" customHeight="false" outlineLevel="0" collapsed="false">
      <c r="A7" s="0" t="s">
        <v>45</v>
      </c>
    </row>
    <row r="8" customFormat="false" ht="13.8" hidden="false" customHeight="false" outlineLevel="0" collapsed="false">
      <c r="A8" s="0" t="s">
        <v>46</v>
      </c>
    </row>
    <row r="9" customFormat="false" ht="13.8" hidden="false" customHeight="false" outlineLevel="0" collapsed="false">
      <c r="A9" s="0" t="s">
        <v>47</v>
      </c>
    </row>
    <row r="10" customFormat="false" ht="13.8" hidden="false" customHeight="false" outlineLevel="0" collapsed="false">
      <c r="A10" s="0" t="s">
        <v>48</v>
      </c>
    </row>
    <row r="11" customFormat="false" ht="13.8" hidden="false" customHeight="false" outlineLevel="0" collapsed="false">
      <c r="A11" s="0" t="s">
        <v>49</v>
      </c>
    </row>
    <row r="12" customFormat="false" ht="13.8" hidden="false" customHeight="false" outlineLevel="0" collapsed="false">
      <c r="A12" s="0" t="s">
        <v>50</v>
      </c>
    </row>
    <row r="13" customFormat="false" ht="13.8" hidden="false" customHeight="false" outlineLevel="0" collapsed="false">
      <c r="A13" s="0" t="s">
        <v>51</v>
      </c>
    </row>
    <row r="14" customFormat="false" ht="13.8" hidden="false" customHeight="false" outlineLevel="0" collapsed="false">
      <c r="A14" s="0" t="s">
        <v>52</v>
      </c>
    </row>
    <row r="15" customFormat="false" ht="13.8" hidden="false" customHeight="false" outlineLevel="0" collapsed="false">
      <c r="A15" s="0" t="s">
        <v>53</v>
      </c>
    </row>
    <row r="16" customFormat="false" ht="13.8" hidden="false" customHeight="false" outlineLevel="0" collapsed="false">
      <c r="A16" s="0" t="s">
        <v>54</v>
      </c>
    </row>
    <row r="17" customFormat="false" ht="13.8" hidden="false" customHeight="false" outlineLevel="0" collapsed="false">
      <c r="A17" s="0" t="s">
        <v>55</v>
      </c>
    </row>
    <row r="18" customFormat="false" ht="13.8" hidden="false" customHeight="false" outlineLevel="0" collapsed="false">
      <c r="A18" s="0" t="s">
        <v>56</v>
      </c>
    </row>
    <row r="19" customFormat="false" ht="13.8" hidden="false" customHeight="false" outlineLevel="0" collapsed="false">
      <c r="A19" s="0" t="s">
        <v>57</v>
      </c>
    </row>
    <row r="20" customFormat="false" ht="13.8" hidden="false" customHeight="false" outlineLevel="0" collapsed="false">
      <c r="A20" s="0" t="s">
        <v>58</v>
      </c>
    </row>
    <row r="21" customFormat="false" ht="13.8" hidden="false" customHeight="false" outlineLevel="0" collapsed="false">
      <c r="A21" s="0" t="s">
        <v>59</v>
      </c>
    </row>
    <row r="22" customFormat="false" ht="13.8" hidden="false" customHeight="false" outlineLevel="0" collapsed="false">
      <c r="A22" s="0" t="s">
        <v>60</v>
      </c>
    </row>
    <row r="23" customFormat="false" ht="13.8" hidden="false" customHeight="false" outlineLevel="0" collapsed="false">
      <c r="A23" s="0" t="s">
        <v>61</v>
      </c>
    </row>
    <row r="24" customFormat="false" ht="13.8" hidden="false" customHeight="false" outlineLevel="0" collapsed="false">
      <c r="A24" s="0" t="s">
        <v>62</v>
      </c>
    </row>
    <row r="25" customFormat="false" ht="13.8" hidden="false" customHeight="false" outlineLevel="0" collapsed="false">
      <c r="A25" s="0" t="s">
        <v>63</v>
      </c>
    </row>
    <row r="26" customFormat="false" ht="13.8" hidden="false" customHeight="false" outlineLevel="0" collapsed="false">
      <c r="A26" s="0" t="s">
        <v>64</v>
      </c>
    </row>
    <row r="27" customFormat="false" ht="13.8" hidden="false" customHeight="false" outlineLevel="0" collapsed="false">
      <c r="A27" s="0" t="s">
        <v>65</v>
      </c>
    </row>
    <row r="28" customFormat="false" ht="13.8" hidden="false" customHeight="false" outlineLevel="0" collapsed="false">
      <c r="A28" s="0" t="s">
        <v>66</v>
      </c>
    </row>
    <row r="30" customFormat="false" ht="13.8" hidden="false" customHeight="false" outlineLevel="0" collapsed="false">
      <c r="A30" s="0" t="s">
        <v>67</v>
      </c>
    </row>
    <row r="31" customFormat="false" ht="13.8" hidden="false" customHeight="false" outlineLevel="0" collapsed="false">
      <c r="A31" s="0" t="s">
        <v>68</v>
      </c>
    </row>
    <row r="32" customFormat="false" ht="13.8" hidden="false" customHeight="false" outlineLevel="0" collapsed="false">
      <c r="A32" s="0" t="s">
        <v>69</v>
      </c>
    </row>
    <row r="33" customFormat="false" ht="13.8" hidden="false" customHeight="false" outlineLevel="0" collapsed="false">
      <c r="A33" s="0" t="s">
        <v>70</v>
      </c>
    </row>
    <row r="34" customFormat="false" ht="13.8" hidden="false" customHeight="false" outlineLevel="0" collapsed="false">
      <c r="A34" s="0" t="s">
        <v>71</v>
      </c>
    </row>
    <row r="35" customFormat="false" ht="13.8" hidden="false" customHeight="false" outlineLevel="0" collapsed="false">
      <c r="A35" s="0" t="s">
        <v>72</v>
      </c>
    </row>
    <row r="36" customFormat="false" ht="13.8" hidden="false" customHeight="false" outlineLevel="0" collapsed="false">
      <c r="A36" s="0" t="s">
        <v>73</v>
      </c>
    </row>
    <row r="37" customFormat="false" ht="13.8" hidden="false" customHeight="false" outlineLevel="0" collapsed="false">
      <c r="A37" s="0" t="s">
        <v>74</v>
      </c>
    </row>
    <row r="38" customFormat="false" ht="13.8" hidden="false" customHeight="false" outlineLevel="0" collapsed="false">
      <c r="A38" s="0" t="s">
        <v>75</v>
      </c>
    </row>
    <row r="39" customFormat="false" ht="13.8" hidden="false" customHeight="false" outlineLevel="0" collapsed="false">
      <c r="A39" s="0" t="s">
        <v>76</v>
      </c>
    </row>
    <row r="41" customFormat="false" ht="13.8" hidden="false" customHeight="false" outlineLevel="0" collapsed="false">
      <c r="A41" s="0" t="s">
        <v>77</v>
      </c>
    </row>
    <row r="42" customFormat="false" ht="13.8" hidden="false" customHeight="false" outlineLevel="0" collapsed="false">
      <c r="A42" s="0" t="s">
        <v>78</v>
      </c>
    </row>
    <row r="43" customFormat="false" ht="13.8" hidden="false" customHeight="false" outlineLevel="0" collapsed="false">
      <c r="A43" s="0" t="s">
        <v>79</v>
      </c>
    </row>
    <row r="45" customFormat="false" ht="13.8" hidden="false" customHeight="false" outlineLevel="0" collapsed="false">
      <c r="A45" s="0" t="s">
        <v>80</v>
      </c>
    </row>
    <row r="46" customFormat="false" ht="13.8" hidden="false" customHeight="false" outlineLevel="0" collapsed="false">
      <c r="A46" s="0" t="s">
        <v>81</v>
      </c>
    </row>
    <row r="47" customFormat="false" ht="13.8" hidden="false" customHeight="false" outlineLevel="0" collapsed="false">
      <c r="A47" s="0" t="s">
        <v>82</v>
      </c>
    </row>
    <row r="48" customFormat="false" ht="13.8" hidden="false" customHeight="false" outlineLevel="0" collapsed="false">
      <c r="A48" s="0" t="s">
        <v>83</v>
      </c>
    </row>
    <row r="49" customFormat="false" ht="13.8" hidden="false" customHeight="false" outlineLevel="0" collapsed="false">
      <c r="A49" s="0" t="s">
        <v>84</v>
      </c>
    </row>
    <row r="50" customFormat="false" ht="13.8" hidden="false" customHeight="false" outlineLevel="0" collapsed="false">
      <c r="A50" s="0" t="s">
        <v>85</v>
      </c>
    </row>
    <row r="51" customFormat="false" ht="13.8" hidden="false" customHeight="false" outlineLevel="0" collapsed="false">
      <c r="A51" s="0" t="s">
        <v>86</v>
      </c>
    </row>
    <row r="52" customFormat="false" ht="13.8" hidden="false" customHeight="false" outlineLevel="0" collapsed="false">
      <c r="A52" s="0" t="s">
        <v>87</v>
      </c>
    </row>
    <row r="53" customFormat="false" ht="13.8" hidden="false" customHeight="false" outlineLevel="0" collapsed="false">
      <c r="A53" s="0" t="s">
        <v>88</v>
      </c>
    </row>
    <row r="54" customFormat="false" ht="13.8" hidden="false" customHeight="false" outlineLevel="0" collapsed="false">
      <c r="A54" s="0" t="s">
        <v>89</v>
      </c>
    </row>
    <row r="55" customFormat="false" ht="13.8" hidden="false" customHeight="false" outlineLevel="0" collapsed="false">
      <c r="A55" s="0" t="s">
        <v>90</v>
      </c>
    </row>
    <row r="56" customFormat="false" ht="13.8" hidden="false" customHeight="false" outlineLevel="0" collapsed="false">
      <c r="A56" s="0" t="s">
        <v>91</v>
      </c>
    </row>
    <row r="57" customFormat="false" ht="13.8" hidden="false" customHeight="false" outlineLevel="0" collapsed="false">
      <c r="A57" s="0" t="s">
        <v>92</v>
      </c>
    </row>
    <row r="58" customFormat="false" ht="13.8" hidden="false" customHeight="false" outlineLevel="0" collapsed="false">
      <c r="A58" s="0" t="s">
        <v>93</v>
      </c>
    </row>
    <row r="59" customFormat="false" ht="13.8" hidden="false" customHeight="false" outlineLevel="0" collapsed="false">
      <c r="A59" s="0" t="s">
        <v>94</v>
      </c>
    </row>
    <row r="61" customFormat="false" ht="13.8" hidden="false" customHeight="false" outlineLevel="0" collapsed="false">
      <c r="A61" s="0" t="s">
        <v>95</v>
      </c>
    </row>
    <row r="62" customFormat="false" ht="13.8" hidden="false" customHeight="false" outlineLevel="0" collapsed="false">
      <c r="A62" s="0" t="s">
        <v>96</v>
      </c>
    </row>
    <row r="63" customFormat="false" ht="13.8" hidden="false" customHeight="false" outlineLevel="0" collapsed="false">
      <c r="A63" s="0" t="s">
        <v>97</v>
      </c>
    </row>
    <row r="64" customFormat="false" ht="13.8" hidden="false" customHeight="false" outlineLevel="0" collapsed="false">
      <c r="A64" s="0" t="s">
        <v>83</v>
      </c>
    </row>
    <row r="65" customFormat="false" ht="13.8" hidden="false" customHeight="false" outlineLevel="0" collapsed="false">
      <c r="A65" s="0" t="s">
        <v>84</v>
      </c>
    </row>
    <row r="66" customFormat="false" ht="13.8" hidden="false" customHeight="false" outlineLevel="0" collapsed="false">
      <c r="A66" s="0" t="s">
        <v>85</v>
      </c>
    </row>
    <row r="67" customFormat="false" ht="13.8" hidden="false" customHeight="false" outlineLevel="0" collapsed="false">
      <c r="A67" s="0" t="s">
        <v>86</v>
      </c>
    </row>
    <row r="68" customFormat="false" ht="13.8" hidden="false" customHeight="false" outlineLevel="0" collapsed="false">
      <c r="A68" s="0" t="s">
        <v>87</v>
      </c>
    </row>
    <row r="69" customFormat="false" ht="13.8" hidden="false" customHeight="false" outlineLevel="0" collapsed="false">
      <c r="A69" s="0" t="s">
        <v>88</v>
      </c>
    </row>
    <row r="70" customFormat="false" ht="13.8" hidden="false" customHeight="false" outlineLevel="0" collapsed="false">
      <c r="A70" s="0" t="s">
        <v>89</v>
      </c>
    </row>
    <row r="71" customFormat="false" ht="13.8" hidden="false" customHeight="false" outlineLevel="0" collapsed="false">
      <c r="A71" s="0" t="s">
        <v>98</v>
      </c>
    </row>
    <row r="72" customFormat="false" ht="13.8" hidden="false" customHeight="false" outlineLevel="0" collapsed="false">
      <c r="A72" s="0" t="s">
        <v>91</v>
      </c>
    </row>
    <row r="73" customFormat="false" ht="13.8" hidden="false" customHeight="false" outlineLevel="0" collapsed="false">
      <c r="A73" s="0" t="s">
        <v>92</v>
      </c>
    </row>
    <row r="74" customFormat="false" ht="13.8" hidden="false" customHeight="false" outlineLevel="0" collapsed="false">
      <c r="A74" s="0" t="s">
        <v>99</v>
      </c>
    </row>
    <row r="75" customFormat="false" ht="13.8" hidden="false" customHeight="false" outlineLevel="0" collapsed="false">
      <c r="A75" s="0" t="s">
        <v>94</v>
      </c>
    </row>
    <row r="77" customFormat="false" ht="13.8" hidden="false" customHeight="false" outlineLevel="0" collapsed="false">
      <c r="A77" s="0" t="s">
        <v>100</v>
      </c>
    </row>
    <row r="78" customFormat="false" ht="13.8" hidden="false" customHeight="false" outlineLevel="0" collapsed="false">
      <c r="A78" s="0" t="s">
        <v>101</v>
      </c>
    </row>
    <row r="79" customFormat="false" ht="13.8" hidden="false" customHeight="false" outlineLevel="0" collapsed="false">
      <c r="A79" s="0" t="s">
        <v>102</v>
      </c>
    </row>
    <row r="80" customFormat="false" ht="13.8" hidden="false" customHeight="false" outlineLevel="0" collapsed="false">
      <c r="A80" s="0" t="s">
        <v>83</v>
      </c>
    </row>
    <row r="81" customFormat="false" ht="13.8" hidden="false" customHeight="false" outlineLevel="0" collapsed="false">
      <c r="A81" s="0" t="s">
        <v>84</v>
      </c>
    </row>
    <row r="82" customFormat="false" ht="13.8" hidden="false" customHeight="false" outlineLevel="0" collapsed="false">
      <c r="A82" s="0" t="s">
        <v>85</v>
      </c>
    </row>
    <row r="83" customFormat="false" ht="13.8" hidden="false" customHeight="false" outlineLevel="0" collapsed="false">
      <c r="A83" s="0" t="s">
        <v>86</v>
      </c>
    </row>
    <row r="84" customFormat="false" ht="13.8" hidden="false" customHeight="false" outlineLevel="0" collapsed="false">
      <c r="A84" s="0" t="s">
        <v>87</v>
      </c>
    </row>
    <row r="85" customFormat="false" ht="13.8" hidden="false" customHeight="false" outlineLevel="0" collapsed="false">
      <c r="A85" s="0" t="s">
        <v>88</v>
      </c>
    </row>
    <row r="86" customFormat="false" ht="13.8" hidden="false" customHeight="false" outlineLevel="0" collapsed="false">
      <c r="A86" s="0" t="s">
        <v>89</v>
      </c>
    </row>
    <row r="87" customFormat="false" ht="13.8" hidden="false" customHeight="false" outlineLevel="0" collapsed="false">
      <c r="A87" s="0" t="s">
        <v>103</v>
      </c>
    </row>
    <row r="88" customFormat="false" ht="13.8" hidden="false" customHeight="false" outlineLevel="0" collapsed="false">
      <c r="A88" s="0" t="s">
        <v>91</v>
      </c>
    </row>
    <row r="89" customFormat="false" ht="13.8" hidden="false" customHeight="false" outlineLevel="0" collapsed="false">
      <c r="A89" s="0" t="s">
        <v>92</v>
      </c>
    </row>
    <row r="90" customFormat="false" ht="13.8" hidden="false" customHeight="false" outlineLevel="0" collapsed="false">
      <c r="A90" s="0" t="s">
        <v>104</v>
      </c>
    </row>
    <row r="91" customFormat="false" ht="13.8" hidden="false" customHeight="false" outlineLevel="0" collapsed="false">
      <c r="A91" s="0" t="s">
        <v>94</v>
      </c>
    </row>
    <row r="93" customFormat="false" ht="13.8" hidden="false" customHeight="false" outlineLevel="0" collapsed="false">
      <c r="A93" s="0" t="s">
        <v>105</v>
      </c>
    </row>
    <row r="94" customFormat="false" ht="13.8" hidden="false" customHeight="false" outlineLevel="0" collapsed="false">
      <c r="A94" s="0" t="s">
        <v>106</v>
      </c>
    </row>
    <row r="95" customFormat="false" ht="13.8" hidden="false" customHeight="false" outlineLevel="0" collapsed="false">
      <c r="A95" s="0" t="s">
        <v>107</v>
      </c>
    </row>
    <row r="96" customFormat="false" ht="13.8" hidden="false" customHeight="false" outlineLevel="0" collapsed="false">
      <c r="A96" s="0" t="s">
        <v>83</v>
      </c>
    </row>
    <row r="97" customFormat="false" ht="13.8" hidden="false" customHeight="false" outlineLevel="0" collapsed="false">
      <c r="A97" s="0" t="s">
        <v>84</v>
      </c>
    </row>
    <row r="98" customFormat="false" ht="13.8" hidden="false" customHeight="false" outlineLevel="0" collapsed="false">
      <c r="A98" s="0" t="s">
        <v>85</v>
      </c>
    </row>
    <row r="99" customFormat="false" ht="13.8" hidden="false" customHeight="false" outlineLevel="0" collapsed="false">
      <c r="A99" s="0" t="s">
        <v>86</v>
      </c>
    </row>
    <row r="100" customFormat="false" ht="13.8" hidden="false" customHeight="false" outlineLevel="0" collapsed="false">
      <c r="A100" s="0" t="s">
        <v>87</v>
      </c>
    </row>
    <row r="101" customFormat="false" ht="13.8" hidden="false" customHeight="false" outlineLevel="0" collapsed="false">
      <c r="A101" s="0" t="s">
        <v>88</v>
      </c>
    </row>
    <row r="102" customFormat="false" ht="13.8" hidden="false" customHeight="false" outlineLevel="0" collapsed="false">
      <c r="A102" s="0" t="s">
        <v>89</v>
      </c>
    </row>
    <row r="103" customFormat="false" ht="13.8" hidden="false" customHeight="false" outlineLevel="0" collapsed="false">
      <c r="A103" s="0" t="s">
        <v>108</v>
      </c>
    </row>
    <row r="104" customFormat="false" ht="13.8" hidden="false" customHeight="false" outlineLevel="0" collapsed="false">
      <c r="A104" s="0" t="s">
        <v>91</v>
      </c>
    </row>
    <row r="105" customFormat="false" ht="13.8" hidden="false" customHeight="false" outlineLevel="0" collapsed="false">
      <c r="A105" s="0" t="s">
        <v>92</v>
      </c>
    </row>
    <row r="106" customFormat="false" ht="13.8" hidden="false" customHeight="false" outlineLevel="0" collapsed="false">
      <c r="A106" s="0" t="s">
        <v>109</v>
      </c>
    </row>
    <row r="107" customFormat="false" ht="13.8" hidden="false" customHeight="false" outlineLevel="0" collapsed="false">
      <c r="A107" s="0" t="s">
        <v>94</v>
      </c>
    </row>
    <row r="109" customFormat="false" ht="13.8" hidden="false" customHeight="false" outlineLevel="0" collapsed="false">
      <c r="A109" s="0" t="s">
        <v>110</v>
      </c>
    </row>
    <row r="110" customFormat="false" ht="13.8" hidden="false" customHeight="false" outlineLevel="0" collapsed="false">
      <c r="A110" s="0" t="s">
        <v>111</v>
      </c>
    </row>
    <row r="111" customFormat="false" ht="13.8" hidden="false" customHeight="false" outlineLevel="0" collapsed="false">
      <c r="A111" s="0" t="s">
        <v>112</v>
      </c>
    </row>
    <row r="112" customFormat="false" ht="13.8" hidden="false" customHeight="false" outlineLevel="0" collapsed="false">
      <c r="A112" s="0" t="s">
        <v>83</v>
      </c>
    </row>
    <row r="113" customFormat="false" ht="13.8" hidden="false" customHeight="false" outlineLevel="0" collapsed="false">
      <c r="A113" s="0" t="s">
        <v>84</v>
      </c>
    </row>
    <row r="114" customFormat="false" ht="13.8" hidden="false" customHeight="false" outlineLevel="0" collapsed="false">
      <c r="A114" s="0" t="s">
        <v>85</v>
      </c>
    </row>
    <row r="115" customFormat="false" ht="13.8" hidden="false" customHeight="false" outlineLevel="0" collapsed="false">
      <c r="A115" s="0" t="s">
        <v>86</v>
      </c>
    </row>
    <row r="116" customFormat="false" ht="13.8" hidden="false" customHeight="false" outlineLevel="0" collapsed="false">
      <c r="A116" s="0" t="s">
        <v>87</v>
      </c>
    </row>
    <row r="117" customFormat="false" ht="13.8" hidden="false" customHeight="false" outlineLevel="0" collapsed="false">
      <c r="A117" s="0" t="s">
        <v>88</v>
      </c>
    </row>
    <row r="118" customFormat="false" ht="13.8" hidden="false" customHeight="false" outlineLevel="0" collapsed="false">
      <c r="A118" s="0" t="s">
        <v>89</v>
      </c>
    </row>
    <row r="119" customFormat="false" ht="13.8" hidden="false" customHeight="false" outlineLevel="0" collapsed="false">
      <c r="A119" s="0" t="s">
        <v>113</v>
      </c>
    </row>
    <row r="120" customFormat="false" ht="13.8" hidden="false" customHeight="false" outlineLevel="0" collapsed="false">
      <c r="A120" s="0" t="s">
        <v>91</v>
      </c>
    </row>
    <row r="121" customFormat="false" ht="13.8" hidden="false" customHeight="false" outlineLevel="0" collapsed="false">
      <c r="A121" s="0" t="s">
        <v>92</v>
      </c>
    </row>
    <row r="122" customFormat="false" ht="13.8" hidden="false" customHeight="false" outlineLevel="0" collapsed="false">
      <c r="A122" s="0" t="s">
        <v>114</v>
      </c>
    </row>
    <row r="123" customFormat="false" ht="13.8" hidden="false" customHeight="false" outlineLevel="0" collapsed="false">
      <c r="A123" s="0" t="s">
        <v>94</v>
      </c>
    </row>
    <row r="125" customFormat="false" ht="13.8" hidden="false" customHeight="false" outlineLevel="0" collapsed="false">
      <c r="A125" s="0" t="s">
        <v>115</v>
      </c>
    </row>
    <row r="126" customFormat="false" ht="13.8" hidden="false" customHeight="false" outlineLevel="0" collapsed="false">
      <c r="A126" s="0" t="s">
        <v>116</v>
      </c>
    </row>
    <row r="127" customFormat="false" ht="13.8" hidden="false" customHeight="false" outlineLevel="0" collapsed="false">
      <c r="A127" s="0" t="s">
        <v>117</v>
      </c>
    </row>
    <row r="128" customFormat="false" ht="13.8" hidden="false" customHeight="false" outlineLevel="0" collapsed="false">
      <c r="A128" s="0" t="s">
        <v>83</v>
      </c>
    </row>
    <row r="129" customFormat="false" ht="13.8" hidden="false" customHeight="false" outlineLevel="0" collapsed="false">
      <c r="A129" s="0" t="s">
        <v>84</v>
      </c>
    </row>
    <row r="130" customFormat="false" ht="13.8" hidden="false" customHeight="false" outlineLevel="0" collapsed="false">
      <c r="A130" s="0" t="s">
        <v>85</v>
      </c>
    </row>
    <row r="131" customFormat="false" ht="13.8" hidden="false" customHeight="false" outlineLevel="0" collapsed="false">
      <c r="A131" s="0" t="s">
        <v>86</v>
      </c>
    </row>
    <row r="132" customFormat="false" ht="13.8" hidden="false" customHeight="false" outlineLevel="0" collapsed="false">
      <c r="A132" s="0" t="s">
        <v>87</v>
      </c>
    </row>
    <row r="133" customFormat="false" ht="13.8" hidden="false" customHeight="false" outlineLevel="0" collapsed="false">
      <c r="A133" s="0" t="s">
        <v>88</v>
      </c>
    </row>
    <row r="134" customFormat="false" ht="13.8" hidden="false" customHeight="false" outlineLevel="0" collapsed="false">
      <c r="A134" s="0" t="s">
        <v>89</v>
      </c>
    </row>
    <row r="135" customFormat="false" ht="13.8" hidden="false" customHeight="false" outlineLevel="0" collapsed="false">
      <c r="A135" s="0" t="s">
        <v>118</v>
      </c>
    </row>
    <row r="136" customFormat="false" ht="13.8" hidden="false" customHeight="false" outlineLevel="0" collapsed="false">
      <c r="A136" s="0" t="s">
        <v>91</v>
      </c>
    </row>
    <row r="137" customFormat="false" ht="13.8" hidden="false" customHeight="false" outlineLevel="0" collapsed="false">
      <c r="A137" s="0" t="s">
        <v>92</v>
      </c>
    </row>
    <row r="138" customFormat="false" ht="13.8" hidden="false" customHeight="false" outlineLevel="0" collapsed="false">
      <c r="A138" s="0" t="s">
        <v>119</v>
      </c>
    </row>
    <row r="139" customFormat="false" ht="13.8" hidden="false" customHeight="false" outlineLevel="0" collapsed="false">
      <c r="A139" s="0" t="s">
        <v>94</v>
      </c>
    </row>
    <row r="141" customFormat="false" ht="13.8" hidden="false" customHeight="false" outlineLevel="0" collapsed="false">
      <c r="A141" s="0" t="s">
        <v>120</v>
      </c>
    </row>
    <row r="142" customFormat="false" ht="13.8" hidden="false" customHeight="false" outlineLevel="0" collapsed="false">
      <c r="A142" s="0" t="s">
        <v>121</v>
      </c>
    </row>
    <row r="143" customFormat="false" ht="13.8" hidden="false" customHeight="false" outlineLevel="0" collapsed="false">
      <c r="A143" s="0" t="s">
        <v>122</v>
      </c>
    </row>
    <row r="144" customFormat="false" ht="13.8" hidden="false" customHeight="false" outlineLevel="0" collapsed="false">
      <c r="A144" s="0" t="s">
        <v>83</v>
      </c>
    </row>
    <row r="145" customFormat="false" ht="13.8" hidden="false" customHeight="false" outlineLevel="0" collapsed="false">
      <c r="A145" s="0" t="s">
        <v>84</v>
      </c>
    </row>
    <row r="146" customFormat="false" ht="13.8" hidden="false" customHeight="false" outlineLevel="0" collapsed="false">
      <c r="A146" s="0" t="s">
        <v>85</v>
      </c>
    </row>
    <row r="147" customFormat="false" ht="13.8" hidden="false" customHeight="false" outlineLevel="0" collapsed="false">
      <c r="A147" s="0" t="s">
        <v>86</v>
      </c>
    </row>
    <row r="148" customFormat="false" ht="13.8" hidden="false" customHeight="false" outlineLevel="0" collapsed="false">
      <c r="A148" s="0" t="s">
        <v>87</v>
      </c>
    </row>
    <row r="149" customFormat="false" ht="13.8" hidden="false" customHeight="false" outlineLevel="0" collapsed="false">
      <c r="A149" s="0" t="s">
        <v>88</v>
      </c>
    </row>
    <row r="150" customFormat="false" ht="13.8" hidden="false" customHeight="false" outlineLevel="0" collapsed="false">
      <c r="A150" s="0" t="s">
        <v>89</v>
      </c>
    </row>
    <row r="151" customFormat="false" ht="13.8" hidden="false" customHeight="false" outlineLevel="0" collapsed="false">
      <c r="A151" s="0" t="s">
        <v>123</v>
      </c>
    </row>
    <row r="152" customFormat="false" ht="13.8" hidden="false" customHeight="false" outlineLevel="0" collapsed="false">
      <c r="A152" s="0" t="s">
        <v>91</v>
      </c>
    </row>
    <row r="153" customFormat="false" ht="13.8" hidden="false" customHeight="false" outlineLevel="0" collapsed="false">
      <c r="A153" s="0" t="s">
        <v>92</v>
      </c>
    </row>
    <row r="154" customFormat="false" ht="13.8" hidden="false" customHeight="false" outlineLevel="0" collapsed="false">
      <c r="A154" s="0" t="s">
        <v>124</v>
      </c>
    </row>
    <row r="155" customFormat="false" ht="13.8" hidden="false" customHeight="false" outlineLevel="0" collapsed="false">
      <c r="A155" s="0" t="s">
        <v>94</v>
      </c>
    </row>
    <row r="157" customFormat="false" ht="13.8" hidden="false" customHeight="false" outlineLevel="0" collapsed="false">
      <c r="A157" s="0" t="s">
        <v>125</v>
      </c>
    </row>
    <row r="158" customFormat="false" ht="13.8" hidden="false" customHeight="false" outlineLevel="0" collapsed="false">
      <c r="A158" s="0" t="s">
        <v>126</v>
      </c>
    </row>
    <row r="159" customFormat="false" ht="13.8" hidden="false" customHeight="false" outlineLevel="0" collapsed="false">
      <c r="A159" s="0" t="s">
        <v>127</v>
      </c>
    </row>
    <row r="160" customFormat="false" ht="13.8" hidden="false" customHeight="false" outlineLevel="0" collapsed="false">
      <c r="A160" s="0" t="s">
        <v>83</v>
      </c>
    </row>
    <row r="161" customFormat="false" ht="13.8" hidden="false" customHeight="false" outlineLevel="0" collapsed="false">
      <c r="A161" s="0" t="s">
        <v>84</v>
      </c>
    </row>
    <row r="162" customFormat="false" ht="13.8" hidden="false" customHeight="false" outlineLevel="0" collapsed="false">
      <c r="A162" s="0" t="s">
        <v>85</v>
      </c>
    </row>
    <row r="163" customFormat="false" ht="13.8" hidden="false" customHeight="false" outlineLevel="0" collapsed="false">
      <c r="A163" s="0" t="s">
        <v>86</v>
      </c>
    </row>
    <row r="164" customFormat="false" ht="13.8" hidden="false" customHeight="false" outlineLevel="0" collapsed="false">
      <c r="A164" s="0" t="s">
        <v>87</v>
      </c>
    </row>
    <row r="165" customFormat="false" ht="13.8" hidden="false" customHeight="false" outlineLevel="0" collapsed="false">
      <c r="A165" s="0" t="s">
        <v>88</v>
      </c>
    </row>
    <row r="166" customFormat="false" ht="13.8" hidden="false" customHeight="false" outlineLevel="0" collapsed="false">
      <c r="A166" s="0" t="s">
        <v>89</v>
      </c>
    </row>
    <row r="167" customFormat="false" ht="13.8" hidden="false" customHeight="false" outlineLevel="0" collapsed="false">
      <c r="A167" s="0" t="s">
        <v>128</v>
      </c>
    </row>
    <row r="168" customFormat="false" ht="13.8" hidden="false" customHeight="false" outlineLevel="0" collapsed="false">
      <c r="A168" s="0" t="s">
        <v>91</v>
      </c>
    </row>
    <row r="169" customFormat="false" ht="13.8" hidden="false" customHeight="false" outlineLevel="0" collapsed="false">
      <c r="A169" s="0" t="s">
        <v>92</v>
      </c>
    </row>
    <row r="170" customFormat="false" ht="13.8" hidden="false" customHeight="false" outlineLevel="0" collapsed="false">
      <c r="A170" s="0" t="s">
        <v>129</v>
      </c>
    </row>
    <row r="171" customFormat="false" ht="13.8" hidden="false" customHeight="false" outlineLevel="0" collapsed="false">
      <c r="A171" s="0" t="s">
        <v>94</v>
      </c>
    </row>
    <row r="173" customFormat="false" ht="13.8" hidden="false" customHeight="false" outlineLevel="0" collapsed="false">
      <c r="A173" s="0" t="s">
        <v>130</v>
      </c>
    </row>
    <row r="174" customFormat="false" ht="13.8" hidden="false" customHeight="false" outlineLevel="0" collapsed="false">
      <c r="A174" s="0" t="s">
        <v>131</v>
      </c>
    </row>
    <row r="175" customFormat="false" ht="13.8" hidden="false" customHeight="false" outlineLevel="0" collapsed="false">
      <c r="A175" s="0" t="s">
        <v>132</v>
      </c>
    </row>
    <row r="176" customFormat="false" ht="13.8" hidden="false" customHeight="false" outlineLevel="0" collapsed="false">
      <c r="A176" s="0" t="s">
        <v>83</v>
      </c>
    </row>
    <row r="177" customFormat="false" ht="13.8" hidden="false" customHeight="false" outlineLevel="0" collapsed="false">
      <c r="A177" s="0" t="s">
        <v>84</v>
      </c>
    </row>
    <row r="178" customFormat="false" ht="13.8" hidden="false" customHeight="false" outlineLevel="0" collapsed="false">
      <c r="A178" s="0" t="s">
        <v>85</v>
      </c>
    </row>
    <row r="179" customFormat="false" ht="13.8" hidden="false" customHeight="false" outlineLevel="0" collapsed="false">
      <c r="A179" s="0" t="s">
        <v>86</v>
      </c>
    </row>
    <row r="180" customFormat="false" ht="13.8" hidden="false" customHeight="false" outlineLevel="0" collapsed="false">
      <c r="A180" s="0" t="s">
        <v>87</v>
      </c>
    </row>
    <row r="181" customFormat="false" ht="13.8" hidden="false" customHeight="false" outlineLevel="0" collapsed="false">
      <c r="A181" s="0" t="s">
        <v>88</v>
      </c>
    </row>
    <row r="182" customFormat="false" ht="13.8" hidden="false" customHeight="false" outlineLevel="0" collapsed="false">
      <c r="A182" s="0" t="s">
        <v>89</v>
      </c>
    </row>
    <row r="183" customFormat="false" ht="13.8" hidden="false" customHeight="false" outlineLevel="0" collapsed="false">
      <c r="A183" s="0" t="s">
        <v>133</v>
      </c>
    </row>
    <row r="184" customFormat="false" ht="13.8" hidden="false" customHeight="false" outlineLevel="0" collapsed="false">
      <c r="A184" s="0" t="s">
        <v>91</v>
      </c>
    </row>
    <row r="185" customFormat="false" ht="13.8" hidden="false" customHeight="false" outlineLevel="0" collapsed="false">
      <c r="A185" s="0" t="s">
        <v>92</v>
      </c>
    </row>
    <row r="186" customFormat="false" ht="13.8" hidden="false" customHeight="false" outlineLevel="0" collapsed="false">
      <c r="A186" s="0" t="s">
        <v>134</v>
      </c>
    </row>
    <row r="187" customFormat="false" ht="13.8" hidden="false" customHeight="false" outlineLevel="0" collapsed="false">
      <c r="A187" s="0" t="s">
        <v>94</v>
      </c>
    </row>
    <row r="189" customFormat="false" ht="13.8" hidden="false" customHeight="false" outlineLevel="0" collapsed="false">
      <c r="A189" s="0" t="s">
        <v>135</v>
      </c>
    </row>
    <row r="190" customFormat="false" ht="13.8" hidden="false" customHeight="false" outlineLevel="0" collapsed="false">
      <c r="A190" s="0" t="s">
        <v>136</v>
      </c>
    </row>
    <row r="191" customFormat="false" ht="13.8" hidden="false" customHeight="false" outlineLevel="0" collapsed="false">
      <c r="A191" s="0" t="s">
        <v>137</v>
      </c>
    </row>
    <row r="192" customFormat="false" ht="13.8" hidden="false" customHeight="false" outlineLevel="0" collapsed="false">
      <c r="A192" s="0" t="s">
        <v>83</v>
      </c>
    </row>
    <row r="193" customFormat="false" ht="13.8" hidden="false" customHeight="false" outlineLevel="0" collapsed="false">
      <c r="A193" s="0" t="s">
        <v>84</v>
      </c>
    </row>
    <row r="194" customFormat="false" ht="13.8" hidden="false" customHeight="false" outlineLevel="0" collapsed="false">
      <c r="A194" s="0" t="s">
        <v>85</v>
      </c>
    </row>
    <row r="195" customFormat="false" ht="13.8" hidden="false" customHeight="false" outlineLevel="0" collapsed="false">
      <c r="A195" s="0" t="s">
        <v>86</v>
      </c>
    </row>
    <row r="196" customFormat="false" ht="13.8" hidden="false" customHeight="false" outlineLevel="0" collapsed="false">
      <c r="A196" s="0" t="s">
        <v>87</v>
      </c>
    </row>
    <row r="197" customFormat="false" ht="13.8" hidden="false" customHeight="false" outlineLevel="0" collapsed="false">
      <c r="A197" s="0" t="s">
        <v>88</v>
      </c>
    </row>
    <row r="198" customFormat="false" ht="13.8" hidden="false" customHeight="false" outlineLevel="0" collapsed="false">
      <c r="A198" s="0" t="s">
        <v>89</v>
      </c>
    </row>
    <row r="199" customFormat="false" ht="13.8" hidden="false" customHeight="false" outlineLevel="0" collapsed="false">
      <c r="A199" s="0" t="s">
        <v>138</v>
      </c>
    </row>
    <row r="200" customFormat="false" ht="13.8" hidden="false" customHeight="false" outlineLevel="0" collapsed="false">
      <c r="A200" s="0" t="s">
        <v>91</v>
      </c>
    </row>
    <row r="201" customFormat="false" ht="13.8" hidden="false" customHeight="false" outlineLevel="0" collapsed="false">
      <c r="A201" s="0" t="s">
        <v>92</v>
      </c>
    </row>
    <row r="202" customFormat="false" ht="13.8" hidden="false" customHeight="false" outlineLevel="0" collapsed="false">
      <c r="A202" s="0" t="s">
        <v>139</v>
      </c>
    </row>
    <row r="203" customFormat="false" ht="13.8" hidden="false" customHeight="false" outlineLevel="0" collapsed="false">
      <c r="A203" s="0" t="s">
        <v>94</v>
      </c>
    </row>
    <row r="205" customFormat="false" ht="13.8" hidden="false" customHeight="false" outlineLevel="0" collapsed="false">
      <c r="A205" s="0" t="s">
        <v>140</v>
      </c>
    </row>
    <row r="206" customFormat="false" ht="13.8" hidden="false" customHeight="false" outlineLevel="0" collapsed="false">
      <c r="A206" s="0" t="s">
        <v>78</v>
      </c>
    </row>
    <row r="207" customFormat="false" ht="13.8" hidden="false" customHeight="false" outlineLevel="0" collapsed="false">
      <c r="A207" s="0" t="s">
        <v>141</v>
      </c>
    </row>
    <row r="209" customFormat="false" ht="13.8" hidden="false" customHeight="false" outlineLevel="0" collapsed="false">
      <c r="A209" s="0" t="s">
        <v>80</v>
      </c>
    </row>
    <row r="210" customFormat="false" ht="13.8" hidden="false" customHeight="false" outlineLevel="0" collapsed="false">
      <c r="A210" s="0" t="s">
        <v>142</v>
      </c>
    </row>
    <row r="211" customFormat="false" ht="13.8" hidden="false" customHeight="false" outlineLevel="0" collapsed="false">
      <c r="A211" s="0" t="s">
        <v>143</v>
      </c>
    </row>
    <row r="212" customFormat="false" ht="13.8" hidden="false" customHeight="false" outlineLevel="0" collapsed="false">
      <c r="A212" s="0" t="s">
        <v>83</v>
      </c>
    </row>
    <row r="213" customFormat="false" ht="13.8" hidden="false" customHeight="false" outlineLevel="0" collapsed="false">
      <c r="A213" s="0" t="s">
        <v>84</v>
      </c>
    </row>
    <row r="214" customFormat="false" ht="13.8" hidden="false" customHeight="false" outlineLevel="0" collapsed="false">
      <c r="A214" s="0" t="s">
        <v>144</v>
      </c>
    </row>
    <row r="215" customFormat="false" ht="13.8" hidden="false" customHeight="false" outlineLevel="0" collapsed="false">
      <c r="A215" s="0" t="s">
        <v>86</v>
      </c>
    </row>
    <row r="216" customFormat="false" ht="13.8" hidden="false" customHeight="false" outlineLevel="0" collapsed="false">
      <c r="A216" s="0" t="s">
        <v>145</v>
      </c>
    </row>
    <row r="217" customFormat="false" ht="13.8" hidden="false" customHeight="false" outlineLevel="0" collapsed="false">
      <c r="A217" s="0" t="s">
        <v>88</v>
      </c>
    </row>
    <row r="218" customFormat="false" ht="13.8" hidden="false" customHeight="false" outlineLevel="0" collapsed="false">
      <c r="A218" s="0" t="s">
        <v>89</v>
      </c>
    </row>
    <row r="219" customFormat="false" ht="13.8" hidden="false" customHeight="false" outlineLevel="0" collapsed="false">
      <c r="A219" s="0" t="s">
        <v>90</v>
      </c>
    </row>
    <row r="220" customFormat="false" ht="13.8" hidden="false" customHeight="false" outlineLevel="0" collapsed="false">
      <c r="A220" s="0" t="s">
        <v>91</v>
      </c>
    </row>
    <row r="221" customFormat="false" ht="13.8" hidden="false" customHeight="false" outlineLevel="0" collapsed="false">
      <c r="A221" s="0" t="s">
        <v>92</v>
      </c>
    </row>
    <row r="222" customFormat="false" ht="13.8" hidden="false" customHeight="false" outlineLevel="0" collapsed="false">
      <c r="A222" s="0" t="s">
        <v>146</v>
      </c>
    </row>
    <row r="223" customFormat="false" ht="13.8" hidden="false" customHeight="false" outlineLevel="0" collapsed="false">
      <c r="A223" s="0" t="s">
        <v>94</v>
      </c>
    </row>
    <row r="225" customFormat="false" ht="13.8" hidden="false" customHeight="false" outlineLevel="0" collapsed="false">
      <c r="A225" s="0" t="s">
        <v>95</v>
      </c>
    </row>
    <row r="226" customFormat="false" ht="13.8" hidden="false" customHeight="false" outlineLevel="0" collapsed="false">
      <c r="A226" s="0" t="s">
        <v>147</v>
      </c>
    </row>
    <row r="227" customFormat="false" ht="13.8" hidden="false" customHeight="false" outlineLevel="0" collapsed="false">
      <c r="A227" s="0" t="s">
        <v>148</v>
      </c>
    </row>
    <row r="228" customFormat="false" ht="13.8" hidden="false" customHeight="false" outlineLevel="0" collapsed="false">
      <c r="A228" s="0" t="s">
        <v>83</v>
      </c>
    </row>
    <row r="229" customFormat="false" ht="13.8" hidden="false" customHeight="false" outlineLevel="0" collapsed="false">
      <c r="A229" s="0" t="s">
        <v>84</v>
      </c>
    </row>
    <row r="230" customFormat="false" ht="13.8" hidden="false" customHeight="false" outlineLevel="0" collapsed="false">
      <c r="A230" s="0" t="s">
        <v>144</v>
      </c>
    </row>
    <row r="231" customFormat="false" ht="13.8" hidden="false" customHeight="false" outlineLevel="0" collapsed="false">
      <c r="A231" s="0" t="s">
        <v>86</v>
      </c>
    </row>
    <row r="232" customFormat="false" ht="13.8" hidden="false" customHeight="false" outlineLevel="0" collapsed="false">
      <c r="A232" s="0" t="s">
        <v>145</v>
      </c>
    </row>
    <row r="233" customFormat="false" ht="13.8" hidden="false" customHeight="false" outlineLevel="0" collapsed="false">
      <c r="A233" s="0" t="s">
        <v>88</v>
      </c>
    </row>
    <row r="234" customFormat="false" ht="13.8" hidden="false" customHeight="false" outlineLevel="0" collapsed="false">
      <c r="A234" s="0" t="s">
        <v>89</v>
      </c>
    </row>
    <row r="235" customFormat="false" ht="13.8" hidden="false" customHeight="false" outlineLevel="0" collapsed="false">
      <c r="A235" s="0" t="s">
        <v>98</v>
      </c>
    </row>
    <row r="236" customFormat="false" ht="13.8" hidden="false" customHeight="false" outlineLevel="0" collapsed="false">
      <c r="A236" s="0" t="s">
        <v>91</v>
      </c>
    </row>
    <row r="237" customFormat="false" ht="13.8" hidden="false" customHeight="false" outlineLevel="0" collapsed="false">
      <c r="A237" s="0" t="s">
        <v>92</v>
      </c>
    </row>
    <row r="238" customFormat="false" ht="13.8" hidden="false" customHeight="false" outlineLevel="0" collapsed="false">
      <c r="A238" s="0" t="s">
        <v>149</v>
      </c>
    </row>
    <row r="239" customFormat="false" ht="13.8" hidden="false" customHeight="false" outlineLevel="0" collapsed="false">
      <c r="A239" s="0" t="s">
        <v>94</v>
      </c>
    </row>
    <row r="241" customFormat="false" ht="13.8" hidden="false" customHeight="false" outlineLevel="0" collapsed="false">
      <c r="A241" s="0" t="s">
        <v>100</v>
      </c>
    </row>
    <row r="242" customFormat="false" ht="13.8" hidden="false" customHeight="false" outlineLevel="0" collapsed="false">
      <c r="A242" s="0" t="s">
        <v>150</v>
      </c>
    </row>
    <row r="243" customFormat="false" ht="13.8" hidden="false" customHeight="false" outlineLevel="0" collapsed="false">
      <c r="A243" s="0" t="s">
        <v>151</v>
      </c>
    </row>
    <row r="244" customFormat="false" ht="13.8" hidden="false" customHeight="false" outlineLevel="0" collapsed="false">
      <c r="A244" s="0" t="s">
        <v>83</v>
      </c>
    </row>
    <row r="245" customFormat="false" ht="13.8" hidden="false" customHeight="false" outlineLevel="0" collapsed="false">
      <c r="A245" s="0" t="s">
        <v>84</v>
      </c>
    </row>
    <row r="246" customFormat="false" ht="13.8" hidden="false" customHeight="false" outlineLevel="0" collapsed="false">
      <c r="A246" s="0" t="s">
        <v>144</v>
      </c>
    </row>
    <row r="247" customFormat="false" ht="13.8" hidden="false" customHeight="false" outlineLevel="0" collapsed="false">
      <c r="A247" s="0" t="s">
        <v>86</v>
      </c>
    </row>
    <row r="248" customFormat="false" ht="13.8" hidden="false" customHeight="false" outlineLevel="0" collapsed="false">
      <c r="A248" s="0" t="s">
        <v>145</v>
      </c>
    </row>
    <row r="249" customFormat="false" ht="13.8" hidden="false" customHeight="false" outlineLevel="0" collapsed="false">
      <c r="A249" s="0" t="s">
        <v>88</v>
      </c>
    </row>
    <row r="250" customFormat="false" ht="13.8" hidden="false" customHeight="false" outlineLevel="0" collapsed="false">
      <c r="A250" s="0" t="s">
        <v>89</v>
      </c>
    </row>
    <row r="251" customFormat="false" ht="13.8" hidden="false" customHeight="false" outlineLevel="0" collapsed="false">
      <c r="A251" s="0" t="s">
        <v>103</v>
      </c>
    </row>
    <row r="252" customFormat="false" ht="13.8" hidden="false" customHeight="false" outlineLevel="0" collapsed="false">
      <c r="A252" s="0" t="s">
        <v>91</v>
      </c>
    </row>
    <row r="253" customFormat="false" ht="13.8" hidden="false" customHeight="false" outlineLevel="0" collapsed="false">
      <c r="A253" s="0" t="s">
        <v>92</v>
      </c>
    </row>
    <row r="254" customFormat="false" ht="13.8" hidden="false" customHeight="false" outlineLevel="0" collapsed="false">
      <c r="A254" s="0" t="s">
        <v>152</v>
      </c>
    </row>
    <row r="255" customFormat="false" ht="13.8" hidden="false" customHeight="false" outlineLevel="0" collapsed="false">
      <c r="A255" s="0" t="s">
        <v>94</v>
      </c>
    </row>
    <row r="257" customFormat="false" ht="13.8" hidden="false" customHeight="false" outlineLevel="0" collapsed="false">
      <c r="A257" s="0" t="s">
        <v>105</v>
      </c>
    </row>
    <row r="258" customFormat="false" ht="13.8" hidden="false" customHeight="false" outlineLevel="0" collapsed="false">
      <c r="A258" s="0" t="s">
        <v>153</v>
      </c>
    </row>
    <row r="259" customFormat="false" ht="13.8" hidden="false" customHeight="false" outlineLevel="0" collapsed="false">
      <c r="A259" s="0" t="s">
        <v>154</v>
      </c>
    </row>
    <row r="260" customFormat="false" ht="13.8" hidden="false" customHeight="false" outlineLevel="0" collapsed="false">
      <c r="A260" s="0" t="s">
        <v>83</v>
      </c>
    </row>
    <row r="261" customFormat="false" ht="13.8" hidden="false" customHeight="false" outlineLevel="0" collapsed="false">
      <c r="A261" s="0" t="s">
        <v>84</v>
      </c>
    </row>
    <row r="262" customFormat="false" ht="13.8" hidden="false" customHeight="false" outlineLevel="0" collapsed="false">
      <c r="A262" s="0" t="s">
        <v>144</v>
      </c>
    </row>
    <row r="263" customFormat="false" ht="13.8" hidden="false" customHeight="false" outlineLevel="0" collapsed="false">
      <c r="A263" s="0" t="s">
        <v>86</v>
      </c>
    </row>
    <row r="264" customFormat="false" ht="13.8" hidden="false" customHeight="false" outlineLevel="0" collapsed="false">
      <c r="A264" s="0" t="s">
        <v>145</v>
      </c>
    </row>
    <row r="265" customFormat="false" ht="13.8" hidden="false" customHeight="false" outlineLevel="0" collapsed="false">
      <c r="A265" s="0" t="s">
        <v>88</v>
      </c>
    </row>
    <row r="266" customFormat="false" ht="13.8" hidden="false" customHeight="false" outlineLevel="0" collapsed="false">
      <c r="A266" s="0" t="s">
        <v>89</v>
      </c>
    </row>
    <row r="267" customFormat="false" ht="13.8" hidden="false" customHeight="false" outlineLevel="0" collapsed="false">
      <c r="A267" s="0" t="s">
        <v>108</v>
      </c>
    </row>
    <row r="268" customFormat="false" ht="13.8" hidden="false" customHeight="false" outlineLevel="0" collapsed="false">
      <c r="A268" s="0" t="s">
        <v>91</v>
      </c>
    </row>
    <row r="269" customFormat="false" ht="13.8" hidden="false" customHeight="false" outlineLevel="0" collapsed="false">
      <c r="A269" s="0" t="s">
        <v>92</v>
      </c>
    </row>
    <row r="270" customFormat="false" ht="13.8" hidden="false" customHeight="false" outlineLevel="0" collapsed="false">
      <c r="A270" s="0" t="s">
        <v>155</v>
      </c>
    </row>
    <row r="271" customFormat="false" ht="13.8" hidden="false" customHeight="false" outlineLevel="0" collapsed="false">
      <c r="A271" s="0" t="s">
        <v>94</v>
      </c>
    </row>
    <row r="273" customFormat="false" ht="13.8" hidden="false" customHeight="false" outlineLevel="0" collapsed="false">
      <c r="A273" s="0" t="s">
        <v>110</v>
      </c>
    </row>
    <row r="274" customFormat="false" ht="13.8" hidden="false" customHeight="false" outlineLevel="0" collapsed="false">
      <c r="A274" s="0" t="s">
        <v>156</v>
      </c>
    </row>
    <row r="275" customFormat="false" ht="13.8" hidden="false" customHeight="false" outlineLevel="0" collapsed="false">
      <c r="A275" s="0" t="s">
        <v>157</v>
      </c>
    </row>
    <row r="276" customFormat="false" ht="13.8" hidden="false" customHeight="false" outlineLevel="0" collapsed="false">
      <c r="A276" s="0" t="s">
        <v>83</v>
      </c>
    </row>
    <row r="277" customFormat="false" ht="13.8" hidden="false" customHeight="false" outlineLevel="0" collapsed="false">
      <c r="A277" s="0" t="s">
        <v>84</v>
      </c>
    </row>
    <row r="278" customFormat="false" ht="13.8" hidden="false" customHeight="false" outlineLevel="0" collapsed="false">
      <c r="A278" s="0" t="s">
        <v>144</v>
      </c>
    </row>
    <row r="279" customFormat="false" ht="13.8" hidden="false" customHeight="false" outlineLevel="0" collapsed="false">
      <c r="A279" s="0" t="s">
        <v>86</v>
      </c>
    </row>
    <row r="280" customFormat="false" ht="13.8" hidden="false" customHeight="false" outlineLevel="0" collapsed="false">
      <c r="A280" s="0" t="s">
        <v>145</v>
      </c>
    </row>
    <row r="281" customFormat="false" ht="13.8" hidden="false" customHeight="false" outlineLevel="0" collapsed="false">
      <c r="A281" s="0" t="s">
        <v>88</v>
      </c>
    </row>
    <row r="282" customFormat="false" ht="13.8" hidden="false" customHeight="false" outlineLevel="0" collapsed="false">
      <c r="A282" s="0" t="s">
        <v>89</v>
      </c>
    </row>
    <row r="283" customFormat="false" ht="13.8" hidden="false" customHeight="false" outlineLevel="0" collapsed="false">
      <c r="A283" s="0" t="s">
        <v>113</v>
      </c>
    </row>
    <row r="284" customFormat="false" ht="13.8" hidden="false" customHeight="false" outlineLevel="0" collapsed="false">
      <c r="A284" s="0" t="s">
        <v>91</v>
      </c>
    </row>
    <row r="285" customFormat="false" ht="13.8" hidden="false" customHeight="false" outlineLevel="0" collapsed="false">
      <c r="A285" s="0" t="s">
        <v>92</v>
      </c>
    </row>
    <row r="286" customFormat="false" ht="13.8" hidden="false" customHeight="false" outlineLevel="0" collapsed="false">
      <c r="A286" s="0" t="s">
        <v>158</v>
      </c>
    </row>
    <row r="287" customFormat="false" ht="13.8" hidden="false" customHeight="false" outlineLevel="0" collapsed="false">
      <c r="A287" s="0" t="s">
        <v>94</v>
      </c>
    </row>
    <row r="289" customFormat="false" ht="13.8" hidden="false" customHeight="false" outlineLevel="0" collapsed="false">
      <c r="A289" s="0" t="s">
        <v>115</v>
      </c>
    </row>
    <row r="290" customFormat="false" ht="13.8" hidden="false" customHeight="false" outlineLevel="0" collapsed="false">
      <c r="A290" s="0" t="s">
        <v>159</v>
      </c>
    </row>
    <row r="291" customFormat="false" ht="13.8" hidden="false" customHeight="false" outlineLevel="0" collapsed="false">
      <c r="A291" s="0" t="s">
        <v>160</v>
      </c>
    </row>
    <row r="292" customFormat="false" ht="13.8" hidden="false" customHeight="false" outlineLevel="0" collapsed="false">
      <c r="A292" s="0" t="s">
        <v>83</v>
      </c>
    </row>
    <row r="293" customFormat="false" ht="13.8" hidden="false" customHeight="false" outlineLevel="0" collapsed="false">
      <c r="A293" s="0" t="s">
        <v>84</v>
      </c>
    </row>
    <row r="294" customFormat="false" ht="13.8" hidden="false" customHeight="false" outlineLevel="0" collapsed="false">
      <c r="A294" s="0" t="s">
        <v>144</v>
      </c>
    </row>
    <row r="295" customFormat="false" ht="13.8" hidden="false" customHeight="false" outlineLevel="0" collapsed="false">
      <c r="A295" s="0" t="s">
        <v>86</v>
      </c>
    </row>
    <row r="296" customFormat="false" ht="13.8" hidden="false" customHeight="false" outlineLevel="0" collapsed="false">
      <c r="A296" s="0" t="s">
        <v>145</v>
      </c>
    </row>
    <row r="297" customFormat="false" ht="13.8" hidden="false" customHeight="false" outlineLevel="0" collapsed="false">
      <c r="A297" s="0" t="s">
        <v>88</v>
      </c>
    </row>
    <row r="298" customFormat="false" ht="13.8" hidden="false" customHeight="false" outlineLevel="0" collapsed="false">
      <c r="A298" s="0" t="s">
        <v>89</v>
      </c>
    </row>
    <row r="299" customFormat="false" ht="13.8" hidden="false" customHeight="false" outlineLevel="0" collapsed="false">
      <c r="A299" s="0" t="s">
        <v>118</v>
      </c>
    </row>
    <row r="300" customFormat="false" ht="13.8" hidden="false" customHeight="false" outlineLevel="0" collapsed="false">
      <c r="A300" s="0" t="s">
        <v>91</v>
      </c>
    </row>
    <row r="301" customFormat="false" ht="13.8" hidden="false" customHeight="false" outlineLevel="0" collapsed="false">
      <c r="A301" s="0" t="s">
        <v>92</v>
      </c>
    </row>
    <row r="302" customFormat="false" ht="13.8" hidden="false" customHeight="false" outlineLevel="0" collapsed="false">
      <c r="A302" s="0" t="s">
        <v>161</v>
      </c>
    </row>
    <row r="303" customFormat="false" ht="13.8" hidden="false" customHeight="false" outlineLevel="0" collapsed="false">
      <c r="A303" s="0" t="s">
        <v>94</v>
      </c>
    </row>
    <row r="305" customFormat="false" ht="13.8" hidden="false" customHeight="false" outlineLevel="0" collapsed="false">
      <c r="A305" s="0" t="s">
        <v>120</v>
      </c>
    </row>
    <row r="306" customFormat="false" ht="13.8" hidden="false" customHeight="false" outlineLevel="0" collapsed="false">
      <c r="A306" s="0" t="s">
        <v>162</v>
      </c>
    </row>
    <row r="307" customFormat="false" ht="13.8" hidden="false" customHeight="false" outlineLevel="0" collapsed="false">
      <c r="A307" s="0" t="s">
        <v>163</v>
      </c>
    </row>
    <row r="308" customFormat="false" ht="13.8" hidden="false" customHeight="false" outlineLevel="0" collapsed="false">
      <c r="A308" s="0" t="s">
        <v>83</v>
      </c>
    </row>
    <row r="309" customFormat="false" ht="13.8" hidden="false" customHeight="false" outlineLevel="0" collapsed="false">
      <c r="A309" s="0" t="s">
        <v>84</v>
      </c>
    </row>
    <row r="310" customFormat="false" ht="13.8" hidden="false" customHeight="false" outlineLevel="0" collapsed="false">
      <c r="A310" s="0" t="s">
        <v>144</v>
      </c>
    </row>
    <row r="311" customFormat="false" ht="13.8" hidden="false" customHeight="false" outlineLevel="0" collapsed="false">
      <c r="A311" s="0" t="s">
        <v>86</v>
      </c>
    </row>
    <row r="312" customFormat="false" ht="13.8" hidden="false" customHeight="false" outlineLevel="0" collapsed="false">
      <c r="A312" s="0" t="s">
        <v>145</v>
      </c>
    </row>
    <row r="313" customFormat="false" ht="13.8" hidden="false" customHeight="false" outlineLevel="0" collapsed="false">
      <c r="A313" s="0" t="s">
        <v>88</v>
      </c>
    </row>
    <row r="314" customFormat="false" ht="13.8" hidden="false" customHeight="false" outlineLevel="0" collapsed="false">
      <c r="A314" s="0" t="s">
        <v>89</v>
      </c>
    </row>
    <row r="315" customFormat="false" ht="13.8" hidden="false" customHeight="false" outlineLevel="0" collapsed="false">
      <c r="A315" s="0" t="s">
        <v>123</v>
      </c>
    </row>
    <row r="316" customFormat="false" ht="13.8" hidden="false" customHeight="false" outlineLevel="0" collapsed="false">
      <c r="A316" s="0" t="s">
        <v>91</v>
      </c>
    </row>
    <row r="317" customFormat="false" ht="13.8" hidden="false" customHeight="false" outlineLevel="0" collapsed="false">
      <c r="A317" s="0" t="s">
        <v>92</v>
      </c>
    </row>
    <row r="318" customFormat="false" ht="13.8" hidden="false" customHeight="false" outlineLevel="0" collapsed="false">
      <c r="A318" s="0" t="s">
        <v>164</v>
      </c>
    </row>
    <row r="319" customFormat="false" ht="13.8" hidden="false" customHeight="false" outlineLevel="0" collapsed="false">
      <c r="A319" s="0" t="s">
        <v>94</v>
      </c>
    </row>
    <row r="321" customFormat="false" ht="13.8" hidden="false" customHeight="false" outlineLevel="0" collapsed="false">
      <c r="A321" s="0" t="s">
        <v>125</v>
      </c>
    </row>
    <row r="322" customFormat="false" ht="13.8" hidden="false" customHeight="false" outlineLevel="0" collapsed="false">
      <c r="A322" s="0" t="s">
        <v>165</v>
      </c>
    </row>
    <row r="323" customFormat="false" ht="13.8" hidden="false" customHeight="false" outlineLevel="0" collapsed="false">
      <c r="A323" s="0" t="s">
        <v>166</v>
      </c>
    </row>
    <row r="324" customFormat="false" ht="13.8" hidden="false" customHeight="false" outlineLevel="0" collapsed="false">
      <c r="A324" s="0" t="s">
        <v>83</v>
      </c>
    </row>
    <row r="325" customFormat="false" ht="13.8" hidden="false" customHeight="false" outlineLevel="0" collapsed="false">
      <c r="A325" s="0" t="s">
        <v>84</v>
      </c>
    </row>
    <row r="326" customFormat="false" ht="13.8" hidden="false" customHeight="false" outlineLevel="0" collapsed="false">
      <c r="A326" s="0" t="s">
        <v>144</v>
      </c>
    </row>
    <row r="327" customFormat="false" ht="13.8" hidden="false" customHeight="false" outlineLevel="0" collapsed="false">
      <c r="A327" s="0" t="s">
        <v>86</v>
      </c>
    </row>
    <row r="328" customFormat="false" ht="13.8" hidden="false" customHeight="false" outlineLevel="0" collapsed="false">
      <c r="A328" s="0" t="s">
        <v>145</v>
      </c>
    </row>
    <row r="329" customFormat="false" ht="13.8" hidden="false" customHeight="false" outlineLevel="0" collapsed="false">
      <c r="A329" s="0" t="s">
        <v>88</v>
      </c>
    </row>
    <row r="330" customFormat="false" ht="13.8" hidden="false" customHeight="false" outlineLevel="0" collapsed="false">
      <c r="A330" s="0" t="s">
        <v>89</v>
      </c>
    </row>
    <row r="331" customFormat="false" ht="13.8" hidden="false" customHeight="false" outlineLevel="0" collapsed="false">
      <c r="A331" s="0" t="s">
        <v>128</v>
      </c>
    </row>
    <row r="332" customFormat="false" ht="13.8" hidden="false" customHeight="false" outlineLevel="0" collapsed="false">
      <c r="A332" s="0" t="s">
        <v>91</v>
      </c>
    </row>
    <row r="333" customFormat="false" ht="13.8" hidden="false" customHeight="false" outlineLevel="0" collapsed="false">
      <c r="A333" s="0" t="s">
        <v>92</v>
      </c>
    </row>
    <row r="334" customFormat="false" ht="13.8" hidden="false" customHeight="false" outlineLevel="0" collapsed="false">
      <c r="A334" s="0" t="s">
        <v>167</v>
      </c>
    </row>
    <row r="335" customFormat="false" ht="13.8" hidden="false" customHeight="false" outlineLevel="0" collapsed="false">
      <c r="A335" s="0" t="s">
        <v>94</v>
      </c>
    </row>
    <row r="337" customFormat="false" ht="13.8" hidden="false" customHeight="false" outlineLevel="0" collapsed="false">
      <c r="A337" s="0" t="s">
        <v>130</v>
      </c>
    </row>
    <row r="338" customFormat="false" ht="13.8" hidden="false" customHeight="false" outlineLevel="0" collapsed="false">
      <c r="A338" s="0" t="s">
        <v>168</v>
      </c>
    </row>
    <row r="339" customFormat="false" ht="13.8" hidden="false" customHeight="false" outlineLevel="0" collapsed="false">
      <c r="A339" s="0" t="s">
        <v>169</v>
      </c>
    </row>
    <row r="340" customFormat="false" ht="13.8" hidden="false" customHeight="false" outlineLevel="0" collapsed="false">
      <c r="A340" s="0" t="s">
        <v>83</v>
      </c>
    </row>
    <row r="341" customFormat="false" ht="13.8" hidden="false" customHeight="false" outlineLevel="0" collapsed="false">
      <c r="A341" s="0" t="s">
        <v>84</v>
      </c>
    </row>
    <row r="342" customFormat="false" ht="13.8" hidden="false" customHeight="false" outlineLevel="0" collapsed="false">
      <c r="A342" s="0" t="s">
        <v>144</v>
      </c>
    </row>
    <row r="343" customFormat="false" ht="13.8" hidden="false" customHeight="false" outlineLevel="0" collapsed="false">
      <c r="A343" s="0" t="s">
        <v>86</v>
      </c>
    </row>
    <row r="344" customFormat="false" ht="13.8" hidden="false" customHeight="false" outlineLevel="0" collapsed="false">
      <c r="A344" s="0" t="s">
        <v>145</v>
      </c>
    </row>
    <row r="345" customFormat="false" ht="13.8" hidden="false" customHeight="false" outlineLevel="0" collapsed="false">
      <c r="A345" s="0" t="s">
        <v>88</v>
      </c>
    </row>
    <row r="346" customFormat="false" ht="13.8" hidden="false" customHeight="false" outlineLevel="0" collapsed="false">
      <c r="A346" s="0" t="s">
        <v>89</v>
      </c>
    </row>
    <row r="347" customFormat="false" ht="13.8" hidden="false" customHeight="false" outlineLevel="0" collapsed="false">
      <c r="A347" s="0" t="s">
        <v>133</v>
      </c>
    </row>
    <row r="348" customFormat="false" ht="13.8" hidden="false" customHeight="false" outlineLevel="0" collapsed="false">
      <c r="A348" s="0" t="s">
        <v>91</v>
      </c>
    </row>
    <row r="349" customFormat="false" ht="13.8" hidden="false" customHeight="false" outlineLevel="0" collapsed="false">
      <c r="A349" s="0" t="s">
        <v>92</v>
      </c>
    </row>
    <row r="350" customFormat="false" ht="13.8" hidden="false" customHeight="false" outlineLevel="0" collapsed="false">
      <c r="A350" s="0" t="s">
        <v>170</v>
      </c>
    </row>
    <row r="351" customFormat="false" ht="13.8" hidden="false" customHeight="false" outlineLevel="0" collapsed="false">
      <c r="A351" s="0" t="s">
        <v>94</v>
      </c>
    </row>
    <row r="353" customFormat="false" ht="13.8" hidden="false" customHeight="false" outlineLevel="0" collapsed="false">
      <c r="A353" s="0" t="s">
        <v>135</v>
      </c>
    </row>
    <row r="354" customFormat="false" ht="13.8" hidden="false" customHeight="false" outlineLevel="0" collapsed="false">
      <c r="A354" s="0" t="s">
        <v>171</v>
      </c>
    </row>
    <row r="355" customFormat="false" ht="13.8" hidden="false" customHeight="false" outlineLevel="0" collapsed="false">
      <c r="A355" s="0" t="s">
        <v>172</v>
      </c>
    </row>
    <row r="356" customFormat="false" ht="13.8" hidden="false" customHeight="false" outlineLevel="0" collapsed="false">
      <c r="A356" s="0" t="s">
        <v>83</v>
      </c>
    </row>
    <row r="357" customFormat="false" ht="13.8" hidden="false" customHeight="false" outlineLevel="0" collapsed="false">
      <c r="A357" s="0" t="s">
        <v>84</v>
      </c>
    </row>
    <row r="358" customFormat="false" ht="13.8" hidden="false" customHeight="false" outlineLevel="0" collapsed="false">
      <c r="A358" s="0" t="s">
        <v>144</v>
      </c>
    </row>
    <row r="359" customFormat="false" ht="13.8" hidden="false" customHeight="false" outlineLevel="0" collapsed="false">
      <c r="A359" s="0" t="s">
        <v>86</v>
      </c>
    </row>
    <row r="360" customFormat="false" ht="13.8" hidden="false" customHeight="false" outlineLevel="0" collapsed="false">
      <c r="A360" s="0" t="s">
        <v>145</v>
      </c>
    </row>
    <row r="361" customFormat="false" ht="13.8" hidden="false" customHeight="false" outlineLevel="0" collapsed="false">
      <c r="A361" s="0" t="s">
        <v>88</v>
      </c>
    </row>
    <row r="362" customFormat="false" ht="13.8" hidden="false" customHeight="false" outlineLevel="0" collapsed="false">
      <c r="A362" s="0" t="s">
        <v>89</v>
      </c>
    </row>
    <row r="363" customFormat="false" ht="13.8" hidden="false" customHeight="false" outlineLevel="0" collapsed="false">
      <c r="A363" s="0" t="s">
        <v>138</v>
      </c>
    </row>
    <row r="364" customFormat="false" ht="13.8" hidden="false" customHeight="false" outlineLevel="0" collapsed="false">
      <c r="A364" s="0" t="s">
        <v>91</v>
      </c>
    </row>
    <row r="365" customFormat="false" ht="13.8" hidden="false" customHeight="false" outlineLevel="0" collapsed="false">
      <c r="A365" s="0" t="s">
        <v>92</v>
      </c>
    </row>
    <row r="366" customFormat="false" ht="13.8" hidden="false" customHeight="false" outlineLevel="0" collapsed="false">
      <c r="A366" s="0" t="s">
        <v>173</v>
      </c>
    </row>
    <row r="367" customFormat="false" ht="13.8" hidden="false" customHeight="false" outlineLevel="0" collapsed="false">
      <c r="A367" s="0" t="s">
        <v>94</v>
      </c>
    </row>
    <row r="369" customFormat="false" ht="13.8" hidden="false" customHeight="false" outlineLevel="0" collapsed="false">
      <c r="A369" s="0" t="s">
        <v>174</v>
      </c>
    </row>
    <row r="370" customFormat="false" ht="13.8" hidden="false" customHeight="false" outlineLevel="0" collapsed="false">
      <c r="A370" s="0" t="s">
        <v>78</v>
      </c>
    </row>
    <row r="371" customFormat="false" ht="13.8" hidden="false" customHeight="false" outlineLevel="0" collapsed="false">
      <c r="A371" s="0" t="s">
        <v>175</v>
      </c>
    </row>
    <row r="373" customFormat="false" ht="13.8" hidden="false" customHeight="false" outlineLevel="0" collapsed="false">
      <c r="A373" s="0" t="s">
        <v>80</v>
      </c>
    </row>
    <row r="374" customFormat="false" ht="13.8" hidden="false" customHeight="false" outlineLevel="0" collapsed="false">
      <c r="A374" s="0" t="s">
        <v>176</v>
      </c>
    </row>
    <row r="375" customFormat="false" ht="13.8" hidden="false" customHeight="false" outlineLevel="0" collapsed="false">
      <c r="A375" s="0" t="s">
        <v>177</v>
      </c>
    </row>
    <row r="376" customFormat="false" ht="13.8" hidden="false" customHeight="false" outlineLevel="0" collapsed="false">
      <c r="A376" s="0" t="s">
        <v>83</v>
      </c>
    </row>
    <row r="377" customFormat="false" ht="13.8" hidden="false" customHeight="false" outlineLevel="0" collapsed="false">
      <c r="A377" s="0" t="s">
        <v>84</v>
      </c>
    </row>
    <row r="378" customFormat="false" ht="13.8" hidden="false" customHeight="false" outlineLevel="0" collapsed="false">
      <c r="A378" s="0" t="s">
        <v>178</v>
      </c>
    </row>
    <row r="379" customFormat="false" ht="13.8" hidden="false" customHeight="false" outlineLevel="0" collapsed="false">
      <c r="A379" s="0" t="s">
        <v>86</v>
      </c>
    </row>
    <row r="380" customFormat="false" ht="13.8" hidden="false" customHeight="false" outlineLevel="0" collapsed="false">
      <c r="A380" s="0" t="s">
        <v>179</v>
      </c>
    </row>
    <row r="381" customFormat="false" ht="13.8" hidden="false" customHeight="false" outlineLevel="0" collapsed="false">
      <c r="A381" s="0" t="s">
        <v>88</v>
      </c>
    </row>
    <row r="382" customFormat="false" ht="13.8" hidden="false" customHeight="false" outlineLevel="0" collapsed="false">
      <c r="A382" s="0" t="s">
        <v>89</v>
      </c>
    </row>
    <row r="383" customFormat="false" ht="13.8" hidden="false" customHeight="false" outlineLevel="0" collapsed="false">
      <c r="A383" s="0" t="s">
        <v>90</v>
      </c>
    </row>
    <row r="384" customFormat="false" ht="13.8" hidden="false" customHeight="false" outlineLevel="0" collapsed="false">
      <c r="A384" s="0" t="s">
        <v>91</v>
      </c>
    </row>
    <row r="385" customFormat="false" ht="13.8" hidden="false" customHeight="false" outlineLevel="0" collapsed="false">
      <c r="A385" s="0" t="s">
        <v>92</v>
      </c>
    </row>
    <row r="386" customFormat="false" ht="13.8" hidden="false" customHeight="false" outlineLevel="0" collapsed="false">
      <c r="A386" s="0" t="s">
        <v>180</v>
      </c>
    </row>
    <row r="387" customFormat="false" ht="13.8" hidden="false" customHeight="false" outlineLevel="0" collapsed="false">
      <c r="A387" s="0" t="s">
        <v>94</v>
      </c>
    </row>
    <row r="389" customFormat="false" ht="13.8" hidden="false" customHeight="false" outlineLevel="0" collapsed="false">
      <c r="A389" s="0" t="s">
        <v>95</v>
      </c>
    </row>
    <row r="390" customFormat="false" ht="13.8" hidden="false" customHeight="false" outlineLevel="0" collapsed="false">
      <c r="A390" s="0" t="s">
        <v>181</v>
      </c>
    </row>
    <row r="391" customFormat="false" ht="13.8" hidden="false" customHeight="false" outlineLevel="0" collapsed="false">
      <c r="A391" s="0" t="s">
        <v>182</v>
      </c>
    </row>
    <row r="392" customFormat="false" ht="13.8" hidden="false" customHeight="false" outlineLevel="0" collapsed="false">
      <c r="A392" s="0" t="s">
        <v>83</v>
      </c>
    </row>
    <row r="393" customFormat="false" ht="13.8" hidden="false" customHeight="false" outlineLevel="0" collapsed="false">
      <c r="A393" s="0" t="s">
        <v>84</v>
      </c>
    </row>
    <row r="394" customFormat="false" ht="13.8" hidden="false" customHeight="false" outlineLevel="0" collapsed="false">
      <c r="A394" s="0" t="s">
        <v>178</v>
      </c>
    </row>
    <row r="395" customFormat="false" ht="13.8" hidden="false" customHeight="false" outlineLevel="0" collapsed="false">
      <c r="A395" s="0" t="s">
        <v>86</v>
      </c>
    </row>
    <row r="396" customFormat="false" ht="13.8" hidden="false" customHeight="false" outlineLevel="0" collapsed="false">
      <c r="A396" s="0" t="s">
        <v>179</v>
      </c>
    </row>
    <row r="397" customFormat="false" ht="13.8" hidden="false" customHeight="false" outlineLevel="0" collapsed="false">
      <c r="A397" s="0" t="s">
        <v>88</v>
      </c>
    </row>
    <row r="398" customFormat="false" ht="13.8" hidden="false" customHeight="false" outlineLevel="0" collapsed="false">
      <c r="A398" s="0" t="s">
        <v>89</v>
      </c>
    </row>
    <row r="399" customFormat="false" ht="13.8" hidden="false" customHeight="false" outlineLevel="0" collapsed="false">
      <c r="A399" s="0" t="s">
        <v>98</v>
      </c>
    </row>
    <row r="400" customFormat="false" ht="13.8" hidden="false" customHeight="false" outlineLevel="0" collapsed="false">
      <c r="A400" s="0" t="s">
        <v>91</v>
      </c>
    </row>
    <row r="401" customFormat="false" ht="13.8" hidden="false" customHeight="false" outlineLevel="0" collapsed="false">
      <c r="A401" s="0" t="s">
        <v>92</v>
      </c>
    </row>
    <row r="402" customFormat="false" ht="13.8" hidden="false" customHeight="false" outlineLevel="0" collapsed="false">
      <c r="A402" s="0" t="s">
        <v>183</v>
      </c>
    </row>
    <row r="403" customFormat="false" ht="13.8" hidden="false" customHeight="false" outlineLevel="0" collapsed="false">
      <c r="A403" s="0" t="s">
        <v>94</v>
      </c>
    </row>
    <row r="405" customFormat="false" ht="13.8" hidden="false" customHeight="false" outlineLevel="0" collapsed="false">
      <c r="A405" s="0" t="s">
        <v>100</v>
      </c>
    </row>
    <row r="406" customFormat="false" ht="13.8" hidden="false" customHeight="false" outlineLevel="0" collapsed="false">
      <c r="A406" s="0" t="s">
        <v>184</v>
      </c>
    </row>
    <row r="407" customFormat="false" ht="13.8" hidden="false" customHeight="false" outlineLevel="0" collapsed="false">
      <c r="A407" s="0" t="s">
        <v>185</v>
      </c>
    </row>
    <row r="408" customFormat="false" ht="13.8" hidden="false" customHeight="false" outlineLevel="0" collapsed="false">
      <c r="A408" s="0" t="s">
        <v>83</v>
      </c>
    </row>
    <row r="409" customFormat="false" ht="13.8" hidden="false" customHeight="false" outlineLevel="0" collapsed="false">
      <c r="A409" s="0" t="s">
        <v>84</v>
      </c>
    </row>
    <row r="410" customFormat="false" ht="13.8" hidden="false" customHeight="false" outlineLevel="0" collapsed="false">
      <c r="A410" s="0" t="s">
        <v>178</v>
      </c>
    </row>
    <row r="411" customFormat="false" ht="13.8" hidden="false" customHeight="false" outlineLevel="0" collapsed="false">
      <c r="A411" s="0" t="s">
        <v>86</v>
      </c>
    </row>
    <row r="412" customFormat="false" ht="13.8" hidden="false" customHeight="false" outlineLevel="0" collapsed="false">
      <c r="A412" s="0" t="s">
        <v>179</v>
      </c>
    </row>
    <row r="413" customFormat="false" ht="13.8" hidden="false" customHeight="false" outlineLevel="0" collapsed="false">
      <c r="A413" s="0" t="s">
        <v>88</v>
      </c>
    </row>
    <row r="414" customFormat="false" ht="13.8" hidden="false" customHeight="false" outlineLevel="0" collapsed="false">
      <c r="A414" s="0" t="s">
        <v>89</v>
      </c>
    </row>
    <row r="415" customFormat="false" ht="13.8" hidden="false" customHeight="false" outlineLevel="0" collapsed="false">
      <c r="A415" s="0" t="s">
        <v>103</v>
      </c>
    </row>
    <row r="416" customFormat="false" ht="13.8" hidden="false" customHeight="false" outlineLevel="0" collapsed="false">
      <c r="A416" s="0" t="s">
        <v>91</v>
      </c>
    </row>
    <row r="417" customFormat="false" ht="13.8" hidden="false" customHeight="false" outlineLevel="0" collapsed="false">
      <c r="A417" s="0" t="s">
        <v>92</v>
      </c>
    </row>
    <row r="418" customFormat="false" ht="13.8" hidden="false" customHeight="false" outlineLevel="0" collapsed="false">
      <c r="A418" s="0" t="s">
        <v>186</v>
      </c>
    </row>
    <row r="419" customFormat="false" ht="13.8" hidden="false" customHeight="false" outlineLevel="0" collapsed="false">
      <c r="A419" s="0" t="s">
        <v>94</v>
      </c>
    </row>
    <row r="421" customFormat="false" ht="13.8" hidden="false" customHeight="false" outlineLevel="0" collapsed="false">
      <c r="A421" s="0" t="s">
        <v>105</v>
      </c>
    </row>
    <row r="422" customFormat="false" ht="13.8" hidden="false" customHeight="false" outlineLevel="0" collapsed="false">
      <c r="A422" s="0" t="s">
        <v>187</v>
      </c>
    </row>
    <row r="423" customFormat="false" ht="13.8" hidden="false" customHeight="false" outlineLevel="0" collapsed="false">
      <c r="A423" s="0" t="s">
        <v>188</v>
      </c>
    </row>
    <row r="424" customFormat="false" ht="13.8" hidden="false" customHeight="false" outlineLevel="0" collapsed="false">
      <c r="A424" s="0" t="s">
        <v>83</v>
      </c>
    </row>
    <row r="425" customFormat="false" ht="13.8" hidden="false" customHeight="false" outlineLevel="0" collapsed="false">
      <c r="A425" s="0" t="s">
        <v>84</v>
      </c>
    </row>
    <row r="426" customFormat="false" ht="13.8" hidden="false" customHeight="false" outlineLevel="0" collapsed="false">
      <c r="A426" s="0" t="s">
        <v>178</v>
      </c>
    </row>
    <row r="427" customFormat="false" ht="13.8" hidden="false" customHeight="false" outlineLevel="0" collapsed="false">
      <c r="A427" s="0" t="s">
        <v>86</v>
      </c>
    </row>
    <row r="428" customFormat="false" ht="13.8" hidden="false" customHeight="false" outlineLevel="0" collapsed="false">
      <c r="A428" s="0" t="s">
        <v>179</v>
      </c>
    </row>
    <row r="429" customFormat="false" ht="13.8" hidden="false" customHeight="false" outlineLevel="0" collapsed="false">
      <c r="A429" s="0" t="s">
        <v>88</v>
      </c>
    </row>
    <row r="430" customFormat="false" ht="13.8" hidden="false" customHeight="false" outlineLevel="0" collapsed="false">
      <c r="A430" s="0" t="s">
        <v>89</v>
      </c>
    </row>
    <row r="431" customFormat="false" ht="13.8" hidden="false" customHeight="false" outlineLevel="0" collapsed="false">
      <c r="A431" s="0" t="s">
        <v>108</v>
      </c>
    </row>
    <row r="432" customFormat="false" ht="13.8" hidden="false" customHeight="false" outlineLevel="0" collapsed="false">
      <c r="A432" s="0" t="s">
        <v>91</v>
      </c>
    </row>
    <row r="433" customFormat="false" ht="13.8" hidden="false" customHeight="false" outlineLevel="0" collapsed="false">
      <c r="A433" s="0" t="s">
        <v>92</v>
      </c>
    </row>
    <row r="434" customFormat="false" ht="13.8" hidden="false" customHeight="false" outlineLevel="0" collapsed="false">
      <c r="A434" s="0" t="s">
        <v>189</v>
      </c>
    </row>
    <row r="435" customFormat="false" ht="13.8" hidden="false" customHeight="false" outlineLevel="0" collapsed="false">
      <c r="A435" s="0" t="s">
        <v>94</v>
      </c>
    </row>
    <row r="437" customFormat="false" ht="13.8" hidden="false" customHeight="false" outlineLevel="0" collapsed="false">
      <c r="A437" s="0" t="s">
        <v>110</v>
      </c>
    </row>
    <row r="438" customFormat="false" ht="13.8" hidden="false" customHeight="false" outlineLevel="0" collapsed="false">
      <c r="A438" s="0" t="s">
        <v>190</v>
      </c>
    </row>
    <row r="439" customFormat="false" ht="13.8" hidden="false" customHeight="false" outlineLevel="0" collapsed="false">
      <c r="A439" s="0" t="s">
        <v>191</v>
      </c>
    </row>
    <row r="440" customFormat="false" ht="13.8" hidden="false" customHeight="false" outlineLevel="0" collapsed="false">
      <c r="A440" s="0" t="s">
        <v>83</v>
      </c>
    </row>
    <row r="441" customFormat="false" ht="13.8" hidden="false" customHeight="false" outlineLevel="0" collapsed="false">
      <c r="A441" s="0" t="s">
        <v>84</v>
      </c>
    </row>
    <row r="442" customFormat="false" ht="13.8" hidden="false" customHeight="false" outlineLevel="0" collapsed="false">
      <c r="A442" s="0" t="s">
        <v>178</v>
      </c>
    </row>
    <row r="443" customFormat="false" ht="13.8" hidden="false" customHeight="false" outlineLevel="0" collapsed="false">
      <c r="A443" s="0" t="s">
        <v>86</v>
      </c>
    </row>
    <row r="444" customFormat="false" ht="13.8" hidden="false" customHeight="false" outlineLevel="0" collapsed="false">
      <c r="A444" s="0" t="s">
        <v>179</v>
      </c>
    </row>
    <row r="445" customFormat="false" ht="13.8" hidden="false" customHeight="false" outlineLevel="0" collapsed="false">
      <c r="A445" s="0" t="s">
        <v>88</v>
      </c>
    </row>
    <row r="446" customFormat="false" ht="13.8" hidden="false" customHeight="false" outlineLevel="0" collapsed="false">
      <c r="A446" s="0" t="s">
        <v>89</v>
      </c>
    </row>
    <row r="447" customFormat="false" ht="13.8" hidden="false" customHeight="false" outlineLevel="0" collapsed="false">
      <c r="A447" s="0" t="s">
        <v>113</v>
      </c>
    </row>
    <row r="448" customFormat="false" ht="13.8" hidden="false" customHeight="false" outlineLevel="0" collapsed="false">
      <c r="A448" s="0" t="s">
        <v>91</v>
      </c>
    </row>
    <row r="449" customFormat="false" ht="13.8" hidden="false" customHeight="false" outlineLevel="0" collapsed="false">
      <c r="A449" s="0" t="s">
        <v>92</v>
      </c>
    </row>
    <row r="450" customFormat="false" ht="13.8" hidden="false" customHeight="false" outlineLevel="0" collapsed="false">
      <c r="A450" s="0" t="s">
        <v>192</v>
      </c>
    </row>
    <row r="451" customFormat="false" ht="13.8" hidden="false" customHeight="false" outlineLevel="0" collapsed="false">
      <c r="A451" s="0" t="s">
        <v>94</v>
      </c>
    </row>
    <row r="453" customFormat="false" ht="13.8" hidden="false" customHeight="false" outlineLevel="0" collapsed="false">
      <c r="A453" s="0" t="s">
        <v>115</v>
      </c>
    </row>
    <row r="454" customFormat="false" ht="13.8" hidden="false" customHeight="false" outlineLevel="0" collapsed="false">
      <c r="A454" s="0" t="s">
        <v>193</v>
      </c>
    </row>
    <row r="455" customFormat="false" ht="13.8" hidden="false" customHeight="false" outlineLevel="0" collapsed="false">
      <c r="A455" s="0" t="s">
        <v>194</v>
      </c>
    </row>
    <row r="456" customFormat="false" ht="13.8" hidden="false" customHeight="false" outlineLevel="0" collapsed="false">
      <c r="A456" s="0" t="s">
        <v>83</v>
      </c>
    </row>
    <row r="457" customFormat="false" ht="13.8" hidden="false" customHeight="false" outlineLevel="0" collapsed="false">
      <c r="A457" s="0" t="s">
        <v>84</v>
      </c>
    </row>
    <row r="458" customFormat="false" ht="13.8" hidden="false" customHeight="false" outlineLevel="0" collapsed="false">
      <c r="A458" s="0" t="s">
        <v>178</v>
      </c>
    </row>
    <row r="459" customFormat="false" ht="13.8" hidden="false" customHeight="false" outlineLevel="0" collapsed="false">
      <c r="A459" s="0" t="s">
        <v>86</v>
      </c>
    </row>
    <row r="460" customFormat="false" ht="13.8" hidden="false" customHeight="false" outlineLevel="0" collapsed="false">
      <c r="A460" s="0" t="s">
        <v>179</v>
      </c>
    </row>
    <row r="461" customFormat="false" ht="13.8" hidden="false" customHeight="false" outlineLevel="0" collapsed="false">
      <c r="A461" s="0" t="s">
        <v>88</v>
      </c>
    </row>
    <row r="462" customFormat="false" ht="13.8" hidden="false" customHeight="false" outlineLevel="0" collapsed="false">
      <c r="A462" s="0" t="s">
        <v>89</v>
      </c>
    </row>
    <row r="463" customFormat="false" ht="13.8" hidden="false" customHeight="false" outlineLevel="0" collapsed="false">
      <c r="A463" s="0" t="s">
        <v>118</v>
      </c>
    </row>
    <row r="464" customFormat="false" ht="13.8" hidden="false" customHeight="false" outlineLevel="0" collapsed="false">
      <c r="A464" s="0" t="s">
        <v>91</v>
      </c>
    </row>
    <row r="465" customFormat="false" ht="13.8" hidden="false" customHeight="false" outlineLevel="0" collapsed="false">
      <c r="A465" s="0" t="s">
        <v>92</v>
      </c>
    </row>
    <row r="466" customFormat="false" ht="13.8" hidden="false" customHeight="false" outlineLevel="0" collapsed="false">
      <c r="A466" s="0" t="s">
        <v>195</v>
      </c>
    </row>
    <row r="467" customFormat="false" ht="13.8" hidden="false" customHeight="false" outlineLevel="0" collapsed="false">
      <c r="A467" s="0" t="s">
        <v>94</v>
      </c>
    </row>
    <row r="469" customFormat="false" ht="13.8" hidden="false" customHeight="false" outlineLevel="0" collapsed="false">
      <c r="A469" s="0" t="s">
        <v>120</v>
      </c>
    </row>
    <row r="470" customFormat="false" ht="13.8" hidden="false" customHeight="false" outlineLevel="0" collapsed="false">
      <c r="A470" s="0" t="s">
        <v>196</v>
      </c>
    </row>
    <row r="471" customFormat="false" ht="13.8" hidden="false" customHeight="false" outlineLevel="0" collapsed="false">
      <c r="A471" s="0" t="s">
        <v>197</v>
      </c>
    </row>
    <row r="472" customFormat="false" ht="13.8" hidden="false" customHeight="false" outlineLevel="0" collapsed="false">
      <c r="A472" s="0" t="s">
        <v>83</v>
      </c>
    </row>
    <row r="473" customFormat="false" ht="13.8" hidden="false" customHeight="false" outlineLevel="0" collapsed="false">
      <c r="A473" s="0" t="s">
        <v>84</v>
      </c>
    </row>
    <row r="474" customFormat="false" ht="13.8" hidden="false" customHeight="false" outlineLevel="0" collapsed="false">
      <c r="A474" s="0" t="s">
        <v>178</v>
      </c>
    </row>
    <row r="475" customFormat="false" ht="13.8" hidden="false" customHeight="false" outlineLevel="0" collapsed="false">
      <c r="A475" s="0" t="s">
        <v>86</v>
      </c>
    </row>
    <row r="476" customFormat="false" ht="13.8" hidden="false" customHeight="false" outlineLevel="0" collapsed="false">
      <c r="A476" s="0" t="s">
        <v>179</v>
      </c>
    </row>
    <row r="477" customFormat="false" ht="13.8" hidden="false" customHeight="false" outlineLevel="0" collapsed="false">
      <c r="A477" s="0" t="s">
        <v>88</v>
      </c>
    </row>
    <row r="478" customFormat="false" ht="13.8" hidden="false" customHeight="false" outlineLevel="0" collapsed="false">
      <c r="A478" s="0" t="s">
        <v>89</v>
      </c>
    </row>
    <row r="479" customFormat="false" ht="13.8" hidden="false" customHeight="false" outlineLevel="0" collapsed="false">
      <c r="A479" s="0" t="s">
        <v>123</v>
      </c>
    </row>
    <row r="480" customFormat="false" ht="13.8" hidden="false" customHeight="false" outlineLevel="0" collapsed="false">
      <c r="A480" s="0" t="s">
        <v>91</v>
      </c>
    </row>
    <row r="481" customFormat="false" ht="13.8" hidden="false" customHeight="false" outlineLevel="0" collapsed="false">
      <c r="A481" s="0" t="s">
        <v>92</v>
      </c>
    </row>
    <row r="482" customFormat="false" ht="13.8" hidden="false" customHeight="false" outlineLevel="0" collapsed="false">
      <c r="A482" s="0" t="s">
        <v>198</v>
      </c>
    </row>
    <row r="483" customFormat="false" ht="13.8" hidden="false" customHeight="false" outlineLevel="0" collapsed="false">
      <c r="A483" s="0" t="s">
        <v>94</v>
      </c>
    </row>
    <row r="485" customFormat="false" ht="13.8" hidden="false" customHeight="false" outlineLevel="0" collapsed="false">
      <c r="A485" s="0" t="s">
        <v>125</v>
      </c>
    </row>
    <row r="486" customFormat="false" ht="13.8" hidden="false" customHeight="false" outlineLevel="0" collapsed="false">
      <c r="A486" s="0" t="s">
        <v>199</v>
      </c>
    </row>
    <row r="487" customFormat="false" ht="13.8" hidden="false" customHeight="false" outlineLevel="0" collapsed="false">
      <c r="A487" s="0" t="s">
        <v>200</v>
      </c>
    </row>
    <row r="488" customFormat="false" ht="13.8" hidden="false" customHeight="false" outlineLevel="0" collapsed="false">
      <c r="A488" s="0" t="s">
        <v>83</v>
      </c>
    </row>
    <row r="489" customFormat="false" ht="13.8" hidden="false" customHeight="false" outlineLevel="0" collapsed="false">
      <c r="A489" s="0" t="s">
        <v>84</v>
      </c>
    </row>
    <row r="490" customFormat="false" ht="13.8" hidden="false" customHeight="false" outlineLevel="0" collapsed="false">
      <c r="A490" s="0" t="s">
        <v>178</v>
      </c>
    </row>
    <row r="491" customFormat="false" ht="13.8" hidden="false" customHeight="false" outlineLevel="0" collapsed="false">
      <c r="A491" s="0" t="s">
        <v>86</v>
      </c>
    </row>
    <row r="492" customFormat="false" ht="13.8" hidden="false" customHeight="false" outlineLevel="0" collapsed="false">
      <c r="A492" s="0" t="s">
        <v>179</v>
      </c>
    </row>
    <row r="493" customFormat="false" ht="13.8" hidden="false" customHeight="false" outlineLevel="0" collapsed="false">
      <c r="A493" s="0" t="s">
        <v>88</v>
      </c>
    </row>
    <row r="494" customFormat="false" ht="13.8" hidden="false" customHeight="false" outlineLevel="0" collapsed="false">
      <c r="A494" s="0" t="s">
        <v>89</v>
      </c>
    </row>
    <row r="495" customFormat="false" ht="13.8" hidden="false" customHeight="false" outlineLevel="0" collapsed="false">
      <c r="A495" s="0" t="s">
        <v>128</v>
      </c>
    </row>
    <row r="496" customFormat="false" ht="13.8" hidden="false" customHeight="false" outlineLevel="0" collapsed="false">
      <c r="A496" s="0" t="s">
        <v>91</v>
      </c>
    </row>
    <row r="497" customFormat="false" ht="13.8" hidden="false" customHeight="false" outlineLevel="0" collapsed="false">
      <c r="A497" s="0" t="s">
        <v>92</v>
      </c>
    </row>
    <row r="498" customFormat="false" ht="13.8" hidden="false" customHeight="false" outlineLevel="0" collapsed="false">
      <c r="A498" s="0" t="s">
        <v>201</v>
      </c>
    </row>
    <row r="499" customFormat="false" ht="13.8" hidden="false" customHeight="false" outlineLevel="0" collapsed="false">
      <c r="A499" s="0" t="s">
        <v>94</v>
      </c>
    </row>
    <row r="501" customFormat="false" ht="13.8" hidden="false" customHeight="false" outlineLevel="0" collapsed="false">
      <c r="A501" s="0" t="s">
        <v>130</v>
      </c>
    </row>
    <row r="502" customFormat="false" ht="13.8" hidden="false" customHeight="false" outlineLevel="0" collapsed="false">
      <c r="A502" s="0" t="s">
        <v>202</v>
      </c>
    </row>
    <row r="503" customFormat="false" ht="13.8" hidden="false" customHeight="false" outlineLevel="0" collapsed="false">
      <c r="A503" s="0" t="s">
        <v>203</v>
      </c>
    </row>
    <row r="504" customFormat="false" ht="13.8" hidden="false" customHeight="false" outlineLevel="0" collapsed="false">
      <c r="A504" s="0" t="s">
        <v>83</v>
      </c>
    </row>
    <row r="505" customFormat="false" ht="13.8" hidden="false" customHeight="false" outlineLevel="0" collapsed="false">
      <c r="A505" s="0" t="s">
        <v>84</v>
      </c>
    </row>
    <row r="506" customFormat="false" ht="13.8" hidden="false" customHeight="false" outlineLevel="0" collapsed="false">
      <c r="A506" s="0" t="s">
        <v>178</v>
      </c>
    </row>
    <row r="507" customFormat="false" ht="13.8" hidden="false" customHeight="false" outlineLevel="0" collapsed="false">
      <c r="A507" s="0" t="s">
        <v>86</v>
      </c>
    </row>
    <row r="508" customFormat="false" ht="13.8" hidden="false" customHeight="false" outlineLevel="0" collapsed="false">
      <c r="A508" s="0" t="s">
        <v>179</v>
      </c>
    </row>
    <row r="509" customFormat="false" ht="13.8" hidden="false" customHeight="false" outlineLevel="0" collapsed="false">
      <c r="A509" s="0" t="s">
        <v>88</v>
      </c>
    </row>
    <row r="510" customFormat="false" ht="13.8" hidden="false" customHeight="false" outlineLevel="0" collapsed="false">
      <c r="A510" s="0" t="s">
        <v>89</v>
      </c>
    </row>
    <row r="511" customFormat="false" ht="13.8" hidden="false" customHeight="false" outlineLevel="0" collapsed="false">
      <c r="A511" s="0" t="s">
        <v>133</v>
      </c>
    </row>
    <row r="512" customFormat="false" ht="13.8" hidden="false" customHeight="false" outlineLevel="0" collapsed="false">
      <c r="A512" s="0" t="s">
        <v>91</v>
      </c>
    </row>
    <row r="513" customFormat="false" ht="13.8" hidden="false" customHeight="false" outlineLevel="0" collapsed="false">
      <c r="A513" s="0" t="s">
        <v>92</v>
      </c>
    </row>
    <row r="514" customFormat="false" ht="13.8" hidden="false" customHeight="false" outlineLevel="0" collapsed="false">
      <c r="A514" s="0" t="s">
        <v>204</v>
      </c>
    </row>
    <row r="515" customFormat="false" ht="13.8" hidden="false" customHeight="false" outlineLevel="0" collapsed="false">
      <c r="A515" s="0" t="s">
        <v>94</v>
      </c>
    </row>
    <row r="517" customFormat="false" ht="13.8" hidden="false" customHeight="false" outlineLevel="0" collapsed="false">
      <c r="A517" s="0" t="s">
        <v>135</v>
      </c>
    </row>
    <row r="518" customFormat="false" ht="13.8" hidden="false" customHeight="false" outlineLevel="0" collapsed="false">
      <c r="A518" s="0" t="s">
        <v>205</v>
      </c>
    </row>
    <row r="519" customFormat="false" ht="13.8" hidden="false" customHeight="false" outlineLevel="0" collapsed="false">
      <c r="A519" s="0" t="s">
        <v>206</v>
      </c>
    </row>
    <row r="520" customFormat="false" ht="13.8" hidden="false" customHeight="false" outlineLevel="0" collapsed="false">
      <c r="A520" s="0" t="s">
        <v>83</v>
      </c>
    </row>
    <row r="521" customFormat="false" ht="13.8" hidden="false" customHeight="false" outlineLevel="0" collapsed="false">
      <c r="A521" s="0" t="s">
        <v>84</v>
      </c>
    </row>
    <row r="522" customFormat="false" ht="13.8" hidden="false" customHeight="false" outlineLevel="0" collapsed="false">
      <c r="A522" s="0" t="s">
        <v>178</v>
      </c>
    </row>
    <row r="523" customFormat="false" ht="13.8" hidden="false" customHeight="false" outlineLevel="0" collapsed="false">
      <c r="A523" s="0" t="s">
        <v>86</v>
      </c>
    </row>
    <row r="524" customFormat="false" ht="13.8" hidden="false" customHeight="false" outlineLevel="0" collapsed="false">
      <c r="A524" s="0" t="s">
        <v>179</v>
      </c>
    </row>
    <row r="525" customFormat="false" ht="13.8" hidden="false" customHeight="false" outlineLevel="0" collapsed="false">
      <c r="A525" s="0" t="s">
        <v>88</v>
      </c>
    </row>
    <row r="526" customFormat="false" ht="13.8" hidden="false" customHeight="false" outlineLevel="0" collapsed="false">
      <c r="A526" s="0" t="s">
        <v>89</v>
      </c>
    </row>
    <row r="527" customFormat="false" ht="13.8" hidden="false" customHeight="false" outlineLevel="0" collapsed="false">
      <c r="A527" s="0" t="s">
        <v>138</v>
      </c>
    </row>
    <row r="528" customFormat="false" ht="13.8" hidden="false" customHeight="false" outlineLevel="0" collapsed="false">
      <c r="A528" s="0" t="s">
        <v>91</v>
      </c>
    </row>
    <row r="529" customFormat="false" ht="13.8" hidden="false" customHeight="false" outlineLevel="0" collapsed="false">
      <c r="A529" s="0" t="s">
        <v>92</v>
      </c>
    </row>
    <row r="530" customFormat="false" ht="13.8" hidden="false" customHeight="false" outlineLevel="0" collapsed="false">
      <c r="A530" s="0" t="s">
        <v>207</v>
      </c>
    </row>
    <row r="531" customFormat="false" ht="13.8" hidden="false" customHeight="false" outlineLevel="0" collapsed="false">
      <c r="A531" s="0" t="s">
        <v>94</v>
      </c>
    </row>
    <row r="533" customFormat="false" ht="13.8" hidden="false" customHeight="false" outlineLevel="0" collapsed="false">
      <c r="A533" s="0" t="s">
        <v>208</v>
      </c>
    </row>
    <row r="534" customFormat="false" ht="13.8" hidden="false" customHeight="false" outlineLevel="0" collapsed="false">
      <c r="A534" s="0" t="s">
        <v>78</v>
      </c>
    </row>
    <row r="535" customFormat="false" ht="13.8" hidden="false" customHeight="false" outlineLevel="0" collapsed="false">
      <c r="A535" s="0" t="s">
        <v>209</v>
      </c>
    </row>
    <row r="537" customFormat="false" ht="13.8" hidden="false" customHeight="false" outlineLevel="0" collapsed="false">
      <c r="A537" s="0" t="s">
        <v>80</v>
      </c>
    </row>
    <row r="538" customFormat="false" ht="13.8" hidden="false" customHeight="false" outlineLevel="0" collapsed="false">
      <c r="A538" s="0" t="s">
        <v>210</v>
      </c>
    </row>
    <row r="539" customFormat="false" ht="13.8" hidden="false" customHeight="false" outlineLevel="0" collapsed="false">
      <c r="A539" s="0" t="s">
        <v>211</v>
      </c>
    </row>
    <row r="540" customFormat="false" ht="13.8" hidden="false" customHeight="false" outlineLevel="0" collapsed="false">
      <c r="A540" s="0" t="s">
        <v>83</v>
      </c>
    </row>
    <row r="541" customFormat="false" ht="13.8" hidden="false" customHeight="false" outlineLevel="0" collapsed="false">
      <c r="A541" s="0" t="s">
        <v>84</v>
      </c>
    </row>
    <row r="542" customFormat="false" ht="13.8" hidden="false" customHeight="false" outlineLevel="0" collapsed="false">
      <c r="A542" s="0" t="s">
        <v>212</v>
      </c>
    </row>
    <row r="543" customFormat="false" ht="13.8" hidden="false" customHeight="false" outlineLevel="0" collapsed="false">
      <c r="A543" s="0" t="s">
        <v>86</v>
      </c>
    </row>
    <row r="544" customFormat="false" ht="13.8" hidden="false" customHeight="false" outlineLevel="0" collapsed="false">
      <c r="A544" s="0" t="s">
        <v>213</v>
      </c>
    </row>
    <row r="545" customFormat="false" ht="13.8" hidden="false" customHeight="false" outlineLevel="0" collapsed="false">
      <c r="A545" s="0" t="s">
        <v>88</v>
      </c>
    </row>
    <row r="546" customFormat="false" ht="13.8" hidden="false" customHeight="false" outlineLevel="0" collapsed="false">
      <c r="A546" s="0" t="s">
        <v>89</v>
      </c>
    </row>
    <row r="547" customFormat="false" ht="13.8" hidden="false" customHeight="false" outlineLevel="0" collapsed="false">
      <c r="A547" s="0" t="s">
        <v>90</v>
      </c>
    </row>
    <row r="548" customFormat="false" ht="13.8" hidden="false" customHeight="false" outlineLevel="0" collapsed="false">
      <c r="A548" s="0" t="s">
        <v>91</v>
      </c>
    </row>
    <row r="549" customFormat="false" ht="13.8" hidden="false" customHeight="false" outlineLevel="0" collapsed="false">
      <c r="A549" s="0" t="s">
        <v>92</v>
      </c>
    </row>
    <row r="550" customFormat="false" ht="13.8" hidden="false" customHeight="false" outlineLevel="0" collapsed="false">
      <c r="A550" s="0" t="s">
        <v>214</v>
      </c>
    </row>
    <row r="551" customFormat="false" ht="13.8" hidden="false" customHeight="false" outlineLevel="0" collapsed="false">
      <c r="A551" s="0" t="s">
        <v>94</v>
      </c>
    </row>
    <row r="553" customFormat="false" ht="13.8" hidden="false" customHeight="false" outlineLevel="0" collapsed="false">
      <c r="A553" s="0" t="s">
        <v>95</v>
      </c>
    </row>
    <row r="554" customFormat="false" ht="13.8" hidden="false" customHeight="false" outlineLevel="0" collapsed="false">
      <c r="A554" s="0" t="s">
        <v>215</v>
      </c>
    </row>
    <row r="555" customFormat="false" ht="13.8" hidden="false" customHeight="false" outlineLevel="0" collapsed="false">
      <c r="A555" s="0" t="s">
        <v>216</v>
      </c>
    </row>
    <row r="556" customFormat="false" ht="13.8" hidden="false" customHeight="false" outlineLevel="0" collapsed="false">
      <c r="A556" s="0" t="s">
        <v>83</v>
      </c>
    </row>
    <row r="557" customFormat="false" ht="13.8" hidden="false" customHeight="false" outlineLevel="0" collapsed="false">
      <c r="A557" s="0" t="s">
        <v>84</v>
      </c>
    </row>
    <row r="558" customFormat="false" ht="13.8" hidden="false" customHeight="false" outlineLevel="0" collapsed="false">
      <c r="A558" s="0" t="s">
        <v>212</v>
      </c>
    </row>
    <row r="559" customFormat="false" ht="13.8" hidden="false" customHeight="false" outlineLevel="0" collapsed="false">
      <c r="A559" s="0" t="s">
        <v>86</v>
      </c>
    </row>
    <row r="560" customFormat="false" ht="13.8" hidden="false" customHeight="false" outlineLevel="0" collapsed="false">
      <c r="A560" s="0" t="s">
        <v>213</v>
      </c>
    </row>
    <row r="561" customFormat="false" ht="13.8" hidden="false" customHeight="false" outlineLevel="0" collapsed="false">
      <c r="A561" s="0" t="s">
        <v>88</v>
      </c>
    </row>
    <row r="562" customFormat="false" ht="13.8" hidden="false" customHeight="false" outlineLevel="0" collapsed="false">
      <c r="A562" s="0" t="s">
        <v>89</v>
      </c>
    </row>
    <row r="563" customFormat="false" ht="13.8" hidden="false" customHeight="false" outlineLevel="0" collapsed="false">
      <c r="A563" s="0" t="s">
        <v>98</v>
      </c>
    </row>
    <row r="564" customFormat="false" ht="13.8" hidden="false" customHeight="false" outlineLevel="0" collapsed="false">
      <c r="A564" s="0" t="s">
        <v>91</v>
      </c>
    </row>
    <row r="565" customFormat="false" ht="13.8" hidden="false" customHeight="false" outlineLevel="0" collapsed="false">
      <c r="A565" s="0" t="s">
        <v>92</v>
      </c>
    </row>
    <row r="566" customFormat="false" ht="13.8" hidden="false" customHeight="false" outlineLevel="0" collapsed="false">
      <c r="A566" s="0" t="s">
        <v>217</v>
      </c>
    </row>
    <row r="567" customFormat="false" ht="13.8" hidden="false" customHeight="false" outlineLevel="0" collapsed="false">
      <c r="A567" s="0" t="s">
        <v>94</v>
      </c>
    </row>
    <row r="569" customFormat="false" ht="13.8" hidden="false" customHeight="false" outlineLevel="0" collapsed="false">
      <c r="A569" s="0" t="s">
        <v>100</v>
      </c>
    </row>
    <row r="570" customFormat="false" ht="13.8" hidden="false" customHeight="false" outlineLevel="0" collapsed="false">
      <c r="A570" s="0" t="s">
        <v>218</v>
      </c>
    </row>
    <row r="571" customFormat="false" ht="13.8" hidden="false" customHeight="false" outlineLevel="0" collapsed="false">
      <c r="A571" s="0" t="s">
        <v>219</v>
      </c>
    </row>
    <row r="572" customFormat="false" ht="13.8" hidden="false" customHeight="false" outlineLevel="0" collapsed="false">
      <c r="A572" s="0" t="s">
        <v>83</v>
      </c>
    </row>
    <row r="573" customFormat="false" ht="13.8" hidden="false" customHeight="false" outlineLevel="0" collapsed="false">
      <c r="A573" s="0" t="s">
        <v>84</v>
      </c>
    </row>
    <row r="574" customFormat="false" ht="13.8" hidden="false" customHeight="false" outlineLevel="0" collapsed="false">
      <c r="A574" s="0" t="s">
        <v>212</v>
      </c>
    </row>
    <row r="575" customFormat="false" ht="13.8" hidden="false" customHeight="false" outlineLevel="0" collapsed="false">
      <c r="A575" s="0" t="s">
        <v>86</v>
      </c>
    </row>
    <row r="576" customFormat="false" ht="13.8" hidden="false" customHeight="false" outlineLevel="0" collapsed="false">
      <c r="A576" s="0" t="s">
        <v>213</v>
      </c>
    </row>
    <row r="577" customFormat="false" ht="13.8" hidden="false" customHeight="false" outlineLevel="0" collapsed="false">
      <c r="A577" s="0" t="s">
        <v>88</v>
      </c>
    </row>
    <row r="578" customFormat="false" ht="13.8" hidden="false" customHeight="false" outlineLevel="0" collapsed="false">
      <c r="A578" s="0" t="s">
        <v>89</v>
      </c>
    </row>
    <row r="579" customFormat="false" ht="13.8" hidden="false" customHeight="false" outlineLevel="0" collapsed="false">
      <c r="A579" s="0" t="s">
        <v>103</v>
      </c>
    </row>
    <row r="580" customFormat="false" ht="13.8" hidden="false" customHeight="false" outlineLevel="0" collapsed="false">
      <c r="A580" s="0" t="s">
        <v>91</v>
      </c>
    </row>
    <row r="581" customFormat="false" ht="13.8" hidden="false" customHeight="false" outlineLevel="0" collapsed="false">
      <c r="A581" s="0" t="s">
        <v>92</v>
      </c>
    </row>
    <row r="582" customFormat="false" ht="13.8" hidden="false" customHeight="false" outlineLevel="0" collapsed="false">
      <c r="A582" s="0" t="s">
        <v>220</v>
      </c>
    </row>
    <row r="583" customFormat="false" ht="13.8" hidden="false" customHeight="false" outlineLevel="0" collapsed="false">
      <c r="A583" s="0" t="s">
        <v>94</v>
      </c>
    </row>
    <row r="585" customFormat="false" ht="13.8" hidden="false" customHeight="false" outlineLevel="0" collapsed="false">
      <c r="A585" s="0" t="s">
        <v>105</v>
      </c>
    </row>
    <row r="586" customFormat="false" ht="13.8" hidden="false" customHeight="false" outlineLevel="0" collapsed="false">
      <c r="A586" s="0" t="s">
        <v>221</v>
      </c>
    </row>
    <row r="587" customFormat="false" ht="13.8" hidden="false" customHeight="false" outlineLevel="0" collapsed="false">
      <c r="A587" s="0" t="s">
        <v>222</v>
      </c>
    </row>
    <row r="588" customFormat="false" ht="13.8" hidden="false" customHeight="false" outlineLevel="0" collapsed="false">
      <c r="A588" s="0" t="s">
        <v>83</v>
      </c>
    </row>
    <row r="589" customFormat="false" ht="13.8" hidden="false" customHeight="false" outlineLevel="0" collapsed="false">
      <c r="A589" s="0" t="s">
        <v>84</v>
      </c>
    </row>
    <row r="590" customFormat="false" ht="13.8" hidden="false" customHeight="false" outlineLevel="0" collapsed="false">
      <c r="A590" s="0" t="s">
        <v>212</v>
      </c>
    </row>
    <row r="591" customFormat="false" ht="13.8" hidden="false" customHeight="false" outlineLevel="0" collapsed="false">
      <c r="A591" s="0" t="s">
        <v>86</v>
      </c>
    </row>
    <row r="592" customFormat="false" ht="13.8" hidden="false" customHeight="false" outlineLevel="0" collapsed="false">
      <c r="A592" s="0" t="s">
        <v>213</v>
      </c>
    </row>
    <row r="593" customFormat="false" ht="13.8" hidden="false" customHeight="false" outlineLevel="0" collapsed="false">
      <c r="A593" s="0" t="s">
        <v>88</v>
      </c>
    </row>
    <row r="594" customFormat="false" ht="13.8" hidden="false" customHeight="false" outlineLevel="0" collapsed="false">
      <c r="A594" s="0" t="s">
        <v>89</v>
      </c>
    </row>
    <row r="595" customFormat="false" ht="13.8" hidden="false" customHeight="false" outlineLevel="0" collapsed="false">
      <c r="A595" s="0" t="s">
        <v>108</v>
      </c>
    </row>
    <row r="596" customFormat="false" ht="13.8" hidden="false" customHeight="false" outlineLevel="0" collapsed="false">
      <c r="A596" s="0" t="s">
        <v>91</v>
      </c>
    </row>
    <row r="597" customFormat="false" ht="13.8" hidden="false" customHeight="false" outlineLevel="0" collapsed="false">
      <c r="A597" s="0" t="s">
        <v>92</v>
      </c>
    </row>
    <row r="598" customFormat="false" ht="13.8" hidden="false" customHeight="false" outlineLevel="0" collapsed="false">
      <c r="A598" s="0" t="s">
        <v>223</v>
      </c>
    </row>
    <row r="599" customFormat="false" ht="13.8" hidden="false" customHeight="false" outlineLevel="0" collapsed="false">
      <c r="A599" s="0" t="s">
        <v>94</v>
      </c>
    </row>
    <row r="601" customFormat="false" ht="13.8" hidden="false" customHeight="false" outlineLevel="0" collapsed="false">
      <c r="A601" s="0" t="s">
        <v>110</v>
      </c>
    </row>
    <row r="602" customFormat="false" ht="13.8" hidden="false" customHeight="false" outlineLevel="0" collapsed="false">
      <c r="A602" s="0" t="s">
        <v>224</v>
      </c>
    </row>
    <row r="603" customFormat="false" ht="13.8" hidden="false" customHeight="false" outlineLevel="0" collapsed="false">
      <c r="A603" s="0" t="s">
        <v>225</v>
      </c>
    </row>
    <row r="604" customFormat="false" ht="13.8" hidden="false" customHeight="false" outlineLevel="0" collapsed="false">
      <c r="A604" s="0" t="s">
        <v>83</v>
      </c>
    </row>
    <row r="605" customFormat="false" ht="13.8" hidden="false" customHeight="false" outlineLevel="0" collapsed="false">
      <c r="A605" s="0" t="s">
        <v>84</v>
      </c>
    </row>
    <row r="606" customFormat="false" ht="13.8" hidden="false" customHeight="false" outlineLevel="0" collapsed="false">
      <c r="A606" s="0" t="s">
        <v>212</v>
      </c>
    </row>
    <row r="607" customFormat="false" ht="13.8" hidden="false" customHeight="false" outlineLevel="0" collapsed="false">
      <c r="A607" s="0" t="s">
        <v>86</v>
      </c>
    </row>
    <row r="608" customFormat="false" ht="13.8" hidden="false" customHeight="false" outlineLevel="0" collapsed="false">
      <c r="A608" s="0" t="s">
        <v>213</v>
      </c>
    </row>
    <row r="609" customFormat="false" ht="13.8" hidden="false" customHeight="false" outlineLevel="0" collapsed="false">
      <c r="A609" s="0" t="s">
        <v>88</v>
      </c>
    </row>
    <row r="610" customFormat="false" ht="13.8" hidden="false" customHeight="false" outlineLevel="0" collapsed="false">
      <c r="A610" s="0" t="s">
        <v>89</v>
      </c>
    </row>
    <row r="611" customFormat="false" ht="13.8" hidden="false" customHeight="false" outlineLevel="0" collapsed="false">
      <c r="A611" s="0" t="s">
        <v>113</v>
      </c>
    </row>
    <row r="612" customFormat="false" ht="13.8" hidden="false" customHeight="false" outlineLevel="0" collapsed="false">
      <c r="A612" s="0" t="s">
        <v>91</v>
      </c>
    </row>
    <row r="613" customFormat="false" ht="13.8" hidden="false" customHeight="false" outlineLevel="0" collapsed="false">
      <c r="A613" s="0" t="s">
        <v>92</v>
      </c>
    </row>
    <row r="614" customFormat="false" ht="13.8" hidden="false" customHeight="false" outlineLevel="0" collapsed="false">
      <c r="A614" s="0" t="s">
        <v>226</v>
      </c>
    </row>
    <row r="615" customFormat="false" ht="13.8" hidden="false" customHeight="false" outlineLevel="0" collapsed="false">
      <c r="A615" s="0" t="s">
        <v>94</v>
      </c>
    </row>
    <row r="617" customFormat="false" ht="13.8" hidden="false" customHeight="false" outlineLevel="0" collapsed="false">
      <c r="A617" s="0" t="s">
        <v>115</v>
      </c>
    </row>
    <row r="618" customFormat="false" ht="13.8" hidden="false" customHeight="false" outlineLevel="0" collapsed="false">
      <c r="A618" s="0" t="s">
        <v>227</v>
      </c>
    </row>
    <row r="619" customFormat="false" ht="13.8" hidden="false" customHeight="false" outlineLevel="0" collapsed="false">
      <c r="A619" s="0" t="s">
        <v>228</v>
      </c>
    </row>
    <row r="620" customFormat="false" ht="13.8" hidden="false" customHeight="false" outlineLevel="0" collapsed="false">
      <c r="A620" s="0" t="s">
        <v>83</v>
      </c>
    </row>
    <row r="621" customFormat="false" ht="13.8" hidden="false" customHeight="false" outlineLevel="0" collapsed="false">
      <c r="A621" s="0" t="s">
        <v>84</v>
      </c>
    </row>
    <row r="622" customFormat="false" ht="13.8" hidden="false" customHeight="false" outlineLevel="0" collapsed="false">
      <c r="A622" s="0" t="s">
        <v>212</v>
      </c>
    </row>
    <row r="623" customFormat="false" ht="13.8" hidden="false" customHeight="false" outlineLevel="0" collapsed="false">
      <c r="A623" s="0" t="s">
        <v>86</v>
      </c>
    </row>
    <row r="624" customFormat="false" ht="13.8" hidden="false" customHeight="false" outlineLevel="0" collapsed="false">
      <c r="A624" s="0" t="s">
        <v>213</v>
      </c>
    </row>
    <row r="625" customFormat="false" ht="13.8" hidden="false" customHeight="false" outlineLevel="0" collapsed="false">
      <c r="A625" s="0" t="s">
        <v>88</v>
      </c>
    </row>
    <row r="626" customFormat="false" ht="13.8" hidden="false" customHeight="false" outlineLevel="0" collapsed="false">
      <c r="A626" s="0" t="s">
        <v>89</v>
      </c>
    </row>
    <row r="627" customFormat="false" ht="13.8" hidden="false" customHeight="false" outlineLevel="0" collapsed="false">
      <c r="A627" s="0" t="s">
        <v>118</v>
      </c>
    </row>
    <row r="628" customFormat="false" ht="13.8" hidden="false" customHeight="false" outlineLevel="0" collapsed="false">
      <c r="A628" s="0" t="s">
        <v>91</v>
      </c>
    </row>
    <row r="629" customFormat="false" ht="13.8" hidden="false" customHeight="false" outlineLevel="0" collapsed="false">
      <c r="A629" s="0" t="s">
        <v>92</v>
      </c>
    </row>
    <row r="630" customFormat="false" ht="13.8" hidden="false" customHeight="false" outlineLevel="0" collapsed="false">
      <c r="A630" s="0" t="s">
        <v>229</v>
      </c>
    </row>
    <row r="631" customFormat="false" ht="13.8" hidden="false" customHeight="false" outlineLevel="0" collapsed="false">
      <c r="A631" s="0" t="s">
        <v>94</v>
      </c>
    </row>
    <row r="633" customFormat="false" ht="13.8" hidden="false" customHeight="false" outlineLevel="0" collapsed="false">
      <c r="A633" s="0" t="s">
        <v>120</v>
      </c>
    </row>
    <row r="634" customFormat="false" ht="13.8" hidden="false" customHeight="false" outlineLevel="0" collapsed="false">
      <c r="A634" s="0" t="s">
        <v>230</v>
      </c>
    </row>
    <row r="635" customFormat="false" ht="13.8" hidden="false" customHeight="false" outlineLevel="0" collapsed="false">
      <c r="A635" s="0" t="s">
        <v>231</v>
      </c>
    </row>
    <row r="636" customFormat="false" ht="13.8" hidden="false" customHeight="false" outlineLevel="0" collapsed="false">
      <c r="A636" s="0" t="s">
        <v>83</v>
      </c>
    </row>
    <row r="637" customFormat="false" ht="13.8" hidden="false" customHeight="false" outlineLevel="0" collapsed="false">
      <c r="A637" s="0" t="s">
        <v>84</v>
      </c>
    </row>
    <row r="638" customFormat="false" ht="13.8" hidden="false" customHeight="false" outlineLevel="0" collapsed="false">
      <c r="A638" s="0" t="s">
        <v>212</v>
      </c>
    </row>
    <row r="639" customFormat="false" ht="13.8" hidden="false" customHeight="false" outlineLevel="0" collapsed="false">
      <c r="A639" s="0" t="s">
        <v>86</v>
      </c>
    </row>
    <row r="640" customFormat="false" ht="13.8" hidden="false" customHeight="false" outlineLevel="0" collapsed="false">
      <c r="A640" s="0" t="s">
        <v>213</v>
      </c>
    </row>
    <row r="641" customFormat="false" ht="13.8" hidden="false" customHeight="false" outlineLevel="0" collapsed="false">
      <c r="A641" s="0" t="s">
        <v>88</v>
      </c>
    </row>
    <row r="642" customFormat="false" ht="13.8" hidden="false" customHeight="false" outlineLevel="0" collapsed="false">
      <c r="A642" s="0" t="s">
        <v>89</v>
      </c>
    </row>
    <row r="643" customFormat="false" ht="13.8" hidden="false" customHeight="false" outlineLevel="0" collapsed="false">
      <c r="A643" s="0" t="s">
        <v>123</v>
      </c>
    </row>
    <row r="644" customFormat="false" ht="13.8" hidden="false" customHeight="false" outlineLevel="0" collapsed="false">
      <c r="A644" s="0" t="s">
        <v>91</v>
      </c>
    </row>
    <row r="645" customFormat="false" ht="13.8" hidden="false" customHeight="false" outlineLevel="0" collapsed="false">
      <c r="A645" s="0" t="s">
        <v>92</v>
      </c>
    </row>
    <row r="646" customFormat="false" ht="13.8" hidden="false" customHeight="false" outlineLevel="0" collapsed="false">
      <c r="A646" s="0" t="s">
        <v>232</v>
      </c>
    </row>
    <row r="647" customFormat="false" ht="13.8" hidden="false" customHeight="false" outlineLevel="0" collapsed="false">
      <c r="A647" s="0" t="s">
        <v>94</v>
      </c>
    </row>
    <row r="649" customFormat="false" ht="13.8" hidden="false" customHeight="false" outlineLevel="0" collapsed="false">
      <c r="A649" s="0" t="s">
        <v>125</v>
      </c>
    </row>
    <row r="650" customFormat="false" ht="13.8" hidden="false" customHeight="false" outlineLevel="0" collapsed="false">
      <c r="A650" s="0" t="s">
        <v>233</v>
      </c>
    </row>
    <row r="651" customFormat="false" ht="13.8" hidden="false" customHeight="false" outlineLevel="0" collapsed="false">
      <c r="A651" s="0" t="s">
        <v>234</v>
      </c>
    </row>
    <row r="652" customFormat="false" ht="13.8" hidden="false" customHeight="false" outlineLevel="0" collapsed="false">
      <c r="A652" s="0" t="s">
        <v>83</v>
      </c>
    </row>
    <row r="653" customFormat="false" ht="13.8" hidden="false" customHeight="false" outlineLevel="0" collapsed="false">
      <c r="A653" s="0" t="s">
        <v>84</v>
      </c>
    </row>
    <row r="654" customFormat="false" ht="13.8" hidden="false" customHeight="false" outlineLevel="0" collapsed="false">
      <c r="A654" s="0" t="s">
        <v>212</v>
      </c>
    </row>
    <row r="655" customFormat="false" ht="13.8" hidden="false" customHeight="false" outlineLevel="0" collapsed="false">
      <c r="A655" s="0" t="s">
        <v>86</v>
      </c>
    </row>
    <row r="656" customFormat="false" ht="13.8" hidden="false" customHeight="false" outlineLevel="0" collapsed="false">
      <c r="A656" s="0" t="s">
        <v>213</v>
      </c>
    </row>
    <row r="657" customFormat="false" ht="13.8" hidden="false" customHeight="false" outlineLevel="0" collapsed="false">
      <c r="A657" s="0" t="s">
        <v>88</v>
      </c>
    </row>
    <row r="658" customFormat="false" ht="13.8" hidden="false" customHeight="false" outlineLevel="0" collapsed="false">
      <c r="A658" s="0" t="s">
        <v>89</v>
      </c>
    </row>
    <row r="659" customFormat="false" ht="13.8" hidden="false" customHeight="false" outlineLevel="0" collapsed="false">
      <c r="A659" s="0" t="s">
        <v>128</v>
      </c>
    </row>
    <row r="660" customFormat="false" ht="13.8" hidden="false" customHeight="false" outlineLevel="0" collapsed="false">
      <c r="A660" s="0" t="s">
        <v>91</v>
      </c>
    </row>
    <row r="661" customFormat="false" ht="13.8" hidden="false" customHeight="false" outlineLevel="0" collapsed="false">
      <c r="A661" s="0" t="s">
        <v>92</v>
      </c>
    </row>
    <row r="662" customFormat="false" ht="13.8" hidden="false" customHeight="false" outlineLevel="0" collapsed="false">
      <c r="A662" s="0" t="s">
        <v>235</v>
      </c>
    </row>
    <row r="663" customFormat="false" ht="13.8" hidden="false" customHeight="false" outlineLevel="0" collapsed="false">
      <c r="A663" s="0" t="s">
        <v>94</v>
      </c>
    </row>
    <row r="665" customFormat="false" ht="13.8" hidden="false" customHeight="false" outlineLevel="0" collapsed="false">
      <c r="A665" s="0" t="s">
        <v>130</v>
      </c>
    </row>
    <row r="666" customFormat="false" ht="13.8" hidden="false" customHeight="false" outlineLevel="0" collapsed="false">
      <c r="A666" s="0" t="s">
        <v>236</v>
      </c>
    </row>
    <row r="667" customFormat="false" ht="13.8" hidden="false" customHeight="false" outlineLevel="0" collapsed="false">
      <c r="A667" s="0" t="s">
        <v>237</v>
      </c>
    </row>
    <row r="668" customFormat="false" ht="13.8" hidden="false" customHeight="false" outlineLevel="0" collapsed="false">
      <c r="A668" s="0" t="s">
        <v>83</v>
      </c>
    </row>
    <row r="669" customFormat="false" ht="13.8" hidden="false" customHeight="false" outlineLevel="0" collapsed="false">
      <c r="A669" s="0" t="s">
        <v>84</v>
      </c>
    </row>
    <row r="670" customFormat="false" ht="13.8" hidden="false" customHeight="false" outlineLevel="0" collapsed="false">
      <c r="A670" s="0" t="s">
        <v>212</v>
      </c>
    </row>
    <row r="671" customFormat="false" ht="13.8" hidden="false" customHeight="false" outlineLevel="0" collapsed="false">
      <c r="A671" s="0" t="s">
        <v>86</v>
      </c>
    </row>
    <row r="672" customFormat="false" ht="13.8" hidden="false" customHeight="false" outlineLevel="0" collapsed="false">
      <c r="A672" s="0" t="s">
        <v>213</v>
      </c>
    </row>
    <row r="673" customFormat="false" ht="13.8" hidden="false" customHeight="false" outlineLevel="0" collapsed="false">
      <c r="A673" s="0" t="s">
        <v>88</v>
      </c>
    </row>
    <row r="674" customFormat="false" ht="13.8" hidden="false" customHeight="false" outlineLevel="0" collapsed="false">
      <c r="A674" s="0" t="s">
        <v>89</v>
      </c>
    </row>
    <row r="675" customFormat="false" ht="13.8" hidden="false" customHeight="false" outlineLevel="0" collapsed="false">
      <c r="A675" s="0" t="s">
        <v>133</v>
      </c>
    </row>
    <row r="676" customFormat="false" ht="13.8" hidden="false" customHeight="false" outlineLevel="0" collapsed="false">
      <c r="A676" s="0" t="s">
        <v>91</v>
      </c>
    </row>
    <row r="677" customFormat="false" ht="13.8" hidden="false" customHeight="false" outlineLevel="0" collapsed="false">
      <c r="A677" s="0" t="s">
        <v>92</v>
      </c>
    </row>
    <row r="678" customFormat="false" ht="13.8" hidden="false" customHeight="false" outlineLevel="0" collapsed="false">
      <c r="A678" s="0" t="s">
        <v>238</v>
      </c>
    </row>
    <row r="679" customFormat="false" ht="13.8" hidden="false" customHeight="false" outlineLevel="0" collapsed="false">
      <c r="A679" s="0" t="s">
        <v>94</v>
      </c>
    </row>
    <row r="681" customFormat="false" ht="13.8" hidden="false" customHeight="false" outlineLevel="0" collapsed="false">
      <c r="A681" s="0" t="s">
        <v>135</v>
      </c>
    </row>
    <row r="682" customFormat="false" ht="13.8" hidden="false" customHeight="false" outlineLevel="0" collapsed="false">
      <c r="A682" s="0" t="s">
        <v>239</v>
      </c>
    </row>
    <row r="683" customFormat="false" ht="13.8" hidden="false" customHeight="false" outlineLevel="0" collapsed="false">
      <c r="A683" s="0" t="s">
        <v>240</v>
      </c>
    </row>
    <row r="684" customFormat="false" ht="13.8" hidden="false" customHeight="false" outlineLevel="0" collapsed="false">
      <c r="A684" s="0" t="s">
        <v>83</v>
      </c>
    </row>
    <row r="685" customFormat="false" ht="13.8" hidden="false" customHeight="false" outlineLevel="0" collapsed="false">
      <c r="A685" s="0" t="s">
        <v>84</v>
      </c>
    </row>
    <row r="686" customFormat="false" ht="13.8" hidden="false" customHeight="false" outlineLevel="0" collapsed="false">
      <c r="A686" s="0" t="s">
        <v>212</v>
      </c>
    </row>
    <row r="687" customFormat="false" ht="13.8" hidden="false" customHeight="false" outlineLevel="0" collapsed="false">
      <c r="A687" s="0" t="s">
        <v>86</v>
      </c>
    </row>
    <row r="688" customFormat="false" ht="13.8" hidden="false" customHeight="false" outlineLevel="0" collapsed="false">
      <c r="A688" s="0" t="s">
        <v>213</v>
      </c>
    </row>
    <row r="689" customFormat="false" ht="13.8" hidden="false" customHeight="false" outlineLevel="0" collapsed="false">
      <c r="A689" s="0" t="s">
        <v>88</v>
      </c>
    </row>
    <row r="690" customFormat="false" ht="13.8" hidden="false" customHeight="false" outlineLevel="0" collapsed="false">
      <c r="A690" s="0" t="s">
        <v>89</v>
      </c>
    </row>
    <row r="691" customFormat="false" ht="13.8" hidden="false" customHeight="false" outlineLevel="0" collapsed="false">
      <c r="A691" s="0" t="s">
        <v>138</v>
      </c>
    </row>
    <row r="692" customFormat="false" ht="13.8" hidden="false" customHeight="false" outlineLevel="0" collapsed="false">
      <c r="A692" s="0" t="s">
        <v>91</v>
      </c>
    </row>
    <row r="693" customFormat="false" ht="13.8" hidden="false" customHeight="false" outlineLevel="0" collapsed="false">
      <c r="A693" s="0" t="s">
        <v>92</v>
      </c>
    </row>
    <row r="694" customFormat="false" ht="13.8" hidden="false" customHeight="false" outlineLevel="0" collapsed="false">
      <c r="A694" s="0" t="s">
        <v>241</v>
      </c>
    </row>
    <row r="695" customFormat="false" ht="13.8" hidden="false" customHeight="false" outlineLevel="0" collapsed="false">
      <c r="A695" s="0" t="s">
        <v>94</v>
      </c>
    </row>
    <row r="697" customFormat="false" ht="13.8" hidden="false" customHeight="false" outlineLevel="0" collapsed="false">
      <c r="A697" s="0" t="s">
        <v>242</v>
      </c>
    </row>
    <row r="698" customFormat="false" ht="13.8" hidden="false" customHeight="false" outlineLevel="0" collapsed="false">
      <c r="A698" s="0" t="s">
        <v>243</v>
      </c>
    </row>
    <row r="699" customFormat="false" ht="13.8" hidden="false" customHeight="false" outlineLevel="0" collapsed="false">
      <c r="A699" s="0" t="s">
        <v>244</v>
      </c>
    </row>
    <row r="700" customFormat="false" ht="13.8" hidden="false" customHeight="false" outlineLevel="0" collapsed="false">
      <c r="A700" s="0" t="s">
        <v>245</v>
      </c>
    </row>
    <row r="701" customFormat="false" ht="13.8" hidden="false" customHeight="false" outlineLevel="0" collapsed="false">
      <c r="A701" s="0" t="s">
        <v>246</v>
      </c>
    </row>
  </sheetData>
  <printOptions headings="false" gridLines="false" gridLinesSet="true" horizontalCentered="false" verticalCentered="false"/>
  <pageMargins left="0.7" right="0.7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P40"/>
  <sheetViews>
    <sheetView showFormulas="false" showGridLines="true" showRowColHeaders="true" showZeros="true" rightToLeft="false" tabSelected="true" showOutlineSymbols="true" defaultGridColor="true" view="normal" topLeftCell="H1" colorId="64" zoomScale="130" zoomScaleNormal="130" zoomScalePageLayoutView="100" workbookViewId="0">
      <selection pane="topLeft" activeCell="B19" activeCellId="0" sqref="B19:P29"/>
    </sheetView>
  </sheetViews>
  <sheetFormatPr defaultColWidth="10.62890625" defaultRowHeight="14.4" zeroHeight="false" outlineLevelRow="0" outlineLevelCol="0"/>
  <cols>
    <col collapsed="false" customWidth="true" hidden="false" outlineLevel="0" max="1" min="1" style="0" width="3.55"/>
    <col collapsed="false" customWidth="true" hidden="false" outlineLevel="0" max="2" min="2" style="0" width="19.11"/>
  </cols>
  <sheetData>
    <row r="1" customFormat="false" ht="14.4" hidden="false" customHeight="false" outlineLevel="0" collapsed="false">
      <c r="C1" s="1" t="s">
        <v>247</v>
      </c>
      <c r="D1" s="1"/>
      <c r="E1" s="1"/>
      <c r="F1" s="6"/>
    </row>
    <row r="2" customFormat="false" ht="14.4" hidden="false" customHeight="false" outlineLevel="0" collapsed="false">
      <c r="B2" s="6" t="s">
        <v>248</v>
      </c>
      <c r="C2" s="2" t="s">
        <v>249</v>
      </c>
      <c r="D2" s="2"/>
      <c r="E2" s="2"/>
    </row>
    <row r="3" customFormat="false" ht="14.4" hidden="false" customHeight="false" outlineLevel="0" collapsed="false">
      <c r="B3" s="6" t="s">
        <v>250</v>
      </c>
      <c r="C3" s="7" t="s">
        <v>251</v>
      </c>
      <c r="D3" s="7"/>
      <c r="E3" s="7"/>
    </row>
    <row r="4" customFormat="false" ht="13.8" hidden="false" customHeight="false" outlineLevel="0" collapsed="false">
      <c r="B4" s="6" t="s">
        <v>252</v>
      </c>
      <c r="C4" s="0" t="n">
        <v>240</v>
      </c>
      <c r="D4" s="0" t="n">
        <v>250</v>
      </c>
      <c r="E4" s="0" t="n">
        <v>260</v>
      </c>
      <c r="F4" s="0" t="n">
        <v>270</v>
      </c>
      <c r="G4" s="0" t="s">
        <v>253</v>
      </c>
      <c r="H4" s="0" t="s">
        <v>254</v>
      </c>
      <c r="I4" s="0" t="s">
        <v>255</v>
      </c>
      <c r="J4" s="0" t="s">
        <v>256</v>
      </c>
      <c r="K4" s="0" t="s">
        <v>257</v>
      </c>
      <c r="L4" s="0" t="s">
        <v>258</v>
      </c>
      <c r="M4" s="0" t="s">
        <v>259</v>
      </c>
      <c r="N4" s="0" t="s">
        <v>260</v>
      </c>
      <c r="O4" s="0" t="s">
        <v>261</v>
      </c>
      <c r="P4" s="0" t="s">
        <v>262</v>
      </c>
    </row>
    <row r="5" customFormat="false" ht="13.8" hidden="false" customHeight="false" outlineLevel="0" collapsed="false">
      <c r="B5" s="6" t="s">
        <v>263</v>
      </c>
      <c r="C5" s="8" t="n">
        <v>0.626</v>
      </c>
      <c r="D5" s="8" t="n">
        <v>0.626</v>
      </c>
      <c r="E5" s="8" t="n">
        <v>0.626</v>
      </c>
      <c r="F5" s="8" t="n">
        <v>0.626</v>
      </c>
      <c r="G5" s="8" t="n">
        <v>0.626</v>
      </c>
      <c r="H5" s="8" t="n">
        <v>0.626</v>
      </c>
      <c r="I5" s="8" t="n">
        <v>0.626</v>
      </c>
      <c r="J5" s="8" t="n">
        <v>0.626</v>
      </c>
      <c r="K5" s="8" t="n">
        <v>0.626</v>
      </c>
      <c r="L5" s="8" t="n">
        <v>0.626</v>
      </c>
      <c r="M5" s="8" t="n">
        <v>0.626</v>
      </c>
      <c r="N5" s="8" t="n">
        <v>0.626</v>
      </c>
      <c r="O5" s="8" t="n">
        <v>0.626</v>
      </c>
      <c r="P5" s="8" t="n">
        <v>0.626</v>
      </c>
    </row>
    <row r="6" customFormat="false" ht="13.8" hidden="false" customHeight="false" outlineLevel="0" collapsed="false">
      <c r="B6" s="6" t="s">
        <v>264</v>
      </c>
      <c r="C6" s="9" t="n">
        <f aca="false">C8/MAX($C5:$H5) -1</f>
        <v>-0.0958466453674123</v>
      </c>
      <c r="D6" s="9" t="n">
        <f aca="false">D8/MAX($C5:$H5) -1</f>
        <v>-0.0990415335463259</v>
      </c>
      <c r="E6" s="9" t="n">
        <f aca="false">E8/MAX($C5:$H5) -1</f>
        <v>-0.0926517571884985</v>
      </c>
      <c r="F6" s="9" t="n">
        <f aca="false">F8/MAX($C5:$H5) -1</f>
        <v>-0.0830670926517573</v>
      </c>
      <c r="G6" s="9" t="n">
        <f aca="false">G8/MAX($C5:$H5) -1</f>
        <v>-0.0415335463258786</v>
      </c>
      <c r="H6" s="9" t="n">
        <f aca="false">H8/MAX($C5:$H5) -1</f>
        <v>-0.0479233226837061</v>
      </c>
      <c r="I6" s="9" t="n">
        <f aca="false">I8/MAX($C5:$H5) -1</f>
        <v>-0.0750798722044729</v>
      </c>
      <c r="J6" s="9" t="n">
        <f aca="false">J8/MAX($C5:$H5) -1</f>
        <v>-0.0702875399361023</v>
      </c>
      <c r="K6" s="9" t="n">
        <f aca="false">K8/MAX($C5:$H5) -1</f>
        <v>-0.103833865814696</v>
      </c>
      <c r="L6" s="9" t="n">
        <f aca="false">L8/MAX($C5:$H5) -1</f>
        <v>-0.0974440894568691</v>
      </c>
      <c r="M6" s="9" t="n">
        <f aca="false">M8/MAX($C5:$H5) -1</f>
        <v>-0.115015974440895</v>
      </c>
      <c r="N6" s="9" t="n">
        <f aca="false">N8/MAX($C5:$H5) -1</f>
        <v>-0.100638977635783</v>
      </c>
      <c r="O6" s="9" t="n">
        <f aca="false">O8/MAX($C5:$H5) -1</f>
        <v>-0.062300319488818</v>
      </c>
      <c r="P6" s="9" t="n">
        <f aca="false">P8/MAX($C5:$H5) -1</f>
        <v>-0.0415335463258786</v>
      </c>
    </row>
    <row r="7" customFormat="false" ht="13.8" hidden="false" customHeight="false" outlineLevel="0" collapsed="false">
      <c r="B7" s="10" t="s">
        <v>265</v>
      </c>
      <c r="C7" s="4" t="s">
        <v>266</v>
      </c>
      <c r="D7" s="4"/>
      <c r="E7" s="4"/>
    </row>
    <row r="8" customFormat="false" ht="14.4" hidden="false" customHeight="true" outlineLevel="0" collapsed="false">
      <c r="A8" s="11" t="s">
        <v>267</v>
      </c>
      <c r="B8" s="12" t="n">
        <v>2</v>
      </c>
      <c r="C8" s="13" t="n">
        <v>0.566</v>
      </c>
      <c r="D8" s="13" t="n">
        <v>0.564</v>
      </c>
      <c r="E8" s="13" t="n">
        <v>0.568</v>
      </c>
      <c r="F8" s="13" t="n">
        <v>0.574</v>
      </c>
      <c r="G8" s="13" t="n">
        <v>0.6</v>
      </c>
      <c r="H8" s="13" t="n">
        <v>0.596</v>
      </c>
      <c r="I8" s="13" t="n">
        <v>0.579</v>
      </c>
      <c r="J8" s="13" t="n">
        <v>0.582</v>
      </c>
      <c r="K8" s="13" t="n">
        <v>0.561</v>
      </c>
      <c r="L8" s="13" t="n">
        <v>0.565</v>
      </c>
      <c r="M8" s="13" t="n">
        <v>0.554</v>
      </c>
      <c r="N8" s="13" t="n">
        <v>0.563</v>
      </c>
      <c r="O8" s="13" t="n">
        <v>0.587</v>
      </c>
      <c r="P8" s="13" t="n">
        <v>0.6</v>
      </c>
    </row>
    <row r="9" customFormat="false" ht="13.8" hidden="false" customHeight="false" outlineLevel="0" collapsed="false">
      <c r="A9" s="11"/>
      <c r="B9" s="12" t="n">
        <v>5</v>
      </c>
      <c r="C9" s="13" t="n">
        <v>0.538</v>
      </c>
      <c r="D9" s="13" t="n">
        <v>0.564</v>
      </c>
      <c r="E9" s="13" t="n">
        <v>0.57</v>
      </c>
      <c r="F9" s="13" t="n">
        <v>0.579</v>
      </c>
      <c r="G9" s="13" t="n">
        <v>0.588</v>
      </c>
      <c r="H9" s="13" t="n">
        <v>0.589</v>
      </c>
      <c r="I9" s="13" t="n">
        <v>0.575</v>
      </c>
      <c r="J9" s="13" t="n">
        <v>0.576</v>
      </c>
      <c r="K9" s="13" t="n">
        <v>0.557</v>
      </c>
      <c r="L9" s="13" t="n">
        <v>0.566</v>
      </c>
      <c r="M9" s="13" t="n">
        <v>0.551</v>
      </c>
      <c r="N9" s="13" t="n">
        <v>0.56</v>
      </c>
      <c r="O9" s="13" t="n">
        <v>0.584</v>
      </c>
      <c r="P9" s="13" t="n">
        <v>0.59</v>
      </c>
    </row>
    <row r="10" customFormat="false" ht="13.8" hidden="false" customHeight="false" outlineLevel="0" collapsed="false">
      <c r="A10" s="11"/>
      <c r="B10" s="12" t="n">
        <v>8</v>
      </c>
      <c r="C10" s="13" t="n">
        <v>0.536</v>
      </c>
      <c r="D10" s="13" t="n">
        <v>0.562</v>
      </c>
      <c r="E10" s="13" t="n">
        <v>0.57</v>
      </c>
      <c r="F10" s="13" t="n">
        <v>0.577</v>
      </c>
      <c r="G10" s="13" t="n">
        <v>0.6</v>
      </c>
      <c r="H10" s="13" t="n">
        <v>0.591</v>
      </c>
      <c r="I10" s="13" t="n">
        <v>0.573</v>
      </c>
      <c r="J10" s="13" t="n">
        <v>0.582</v>
      </c>
      <c r="K10" s="13" t="n">
        <v>0.553</v>
      </c>
      <c r="L10" s="13" t="n">
        <v>0.558</v>
      </c>
      <c r="M10" s="13" t="n">
        <v>0.548</v>
      </c>
      <c r="N10" s="13" t="n">
        <v>0.568</v>
      </c>
      <c r="O10" s="13" t="n">
        <v>0.582</v>
      </c>
      <c r="P10" s="13" t="n">
        <v>0.6</v>
      </c>
    </row>
    <row r="11" customFormat="false" ht="13.8" hidden="false" customHeight="false" outlineLevel="0" collapsed="false">
      <c r="A11" s="11"/>
      <c r="B11" s="12" t="n">
        <v>11</v>
      </c>
      <c r="C11" s="13" t="n">
        <v>0.544</v>
      </c>
      <c r="D11" s="13" t="n">
        <v>0.568</v>
      </c>
      <c r="E11" s="13" t="n">
        <v>0.57</v>
      </c>
      <c r="F11" s="13" t="n">
        <v>0.579</v>
      </c>
      <c r="G11" s="13" t="n">
        <v>0.587</v>
      </c>
      <c r="H11" s="13" t="n">
        <v>0.589</v>
      </c>
      <c r="I11" s="13" t="n">
        <v>0.577</v>
      </c>
      <c r="J11" s="13" t="n">
        <v>0.574</v>
      </c>
      <c r="K11" s="13" t="n">
        <v>0.552</v>
      </c>
      <c r="L11" s="13" t="n">
        <v>0.566</v>
      </c>
      <c r="M11" s="13" t="n">
        <v>0.552</v>
      </c>
      <c r="N11" s="13" t="n">
        <v>0.568</v>
      </c>
      <c r="O11" s="13" t="n">
        <v>0.586</v>
      </c>
      <c r="P11" s="13" t="n">
        <v>0.595</v>
      </c>
    </row>
    <row r="12" customFormat="false" ht="13.8" hidden="false" customHeight="false" outlineLevel="0" collapsed="false">
      <c r="A12" s="11"/>
      <c r="B12" s="12" t="n">
        <v>14</v>
      </c>
      <c r="C12" s="13" t="n">
        <v>0.548</v>
      </c>
      <c r="D12" s="13" t="n">
        <v>0.56</v>
      </c>
      <c r="E12" s="13" t="n">
        <v>0.567</v>
      </c>
      <c r="F12" s="13" t="n">
        <v>0.577</v>
      </c>
      <c r="G12" s="13" t="n">
        <v>0.593</v>
      </c>
      <c r="H12" s="13" t="n">
        <v>0.59</v>
      </c>
      <c r="I12" s="13" t="n">
        <v>0.574</v>
      </c>
      <c r="J12" s="13" t="n">
        <v>0.58</v>
      </c>
      <c r="K12" s="13" t="n">
        <v>0.554</v>
      </c>
      <c r="L12" s="13" t="n">
        <v>0.558</v>
      </c>
      <c r="M12" s="13" t="n">
        <v>0.552</v>
      </c>
      <c r="N12" s="13" t="n">
        <v>0.568</v>
      </c>
      <c r="O12" s="13" t="n">
        <v>0.589</v>
      </c>
      <c r="P12" s="13" t="n">
        <v>0.6</v>
      </c>
    </row>
    <row r="13" customFormat="false" ht="13.8" hidden="false" customHeight="false" outlineLevel="0" collapsed="false">
      <c r="A13" s="11"/>
      <c r="B13" s="12" t="n">
        <v>17</v>
      </c>
      <c r="C13" s="13" t="n">
        <v>0.552</v>
      </c>
      <c r="D13" s="13" t="n">
        <v>0.563</v>
      </c>
      <c r="E13" s="13" t="n">
        <v>0.574</v>
      </c>
      <c r="F13" s="13" t="n">
        <v>0.578</v>
      </c>
      <c r="G13" s="13" t="n">
        <v>0.587</v>
      </c>
      <c r="H13" s="13" t="n">
        <v>0.583</v>
      </c>
      <c r="I13" s="13" t="n">
        <v>0.573</v>
      </c>
      <c r="J13" s="13" t="n">
        <v>0.576</v>
      </c>
      <c r="K13" s="13" t="n">
        <v>0.556</v>
      </c>
      <c r="L13" s="13" t="n">
        <v>0.565</v>
      </c>
      <c r="M13" s="13" t="n">
        <v>0.554</v>
      </c>
      <c r="N13" s="13" t="n">
        <v>0.566</v>
      </c>
      <c r="O13" s="13" t="n">
        <v>0.596</v>
      </c>
      <c r="P13" s="13" t="n">
        <v>0.6</v>
      </c>
    </row>
    <row r="14" customFormat="false" ht="13.8" hidden="false" customHeight="false" outlineLevel="0" collapsed="false">
      <c r="A14" s="11"/>
      <c r="B14" s="12" t="n">
        <v>20</v>
      </c>
      <c r="C14" s="13" t="n">
        <v>0.552</v>
      </c>
      <c r="D14" s="13" t="n">
        <v>0.56</v>
      </c>
      <c r="E14" s="13" t="n">
        <v>0.565</v>
      </c>
      <c r="F14" s="13" t="n">
        <v>0.574</v>
      </c>
      <c r="G14" s="13" t="n">
        <v>0.59</v>
      </c>
      <c r="H14" s="13" t="n">
        <v>0.586</v>
      </c>
      <c r="I14" s="13" t="n">
        <v>0.576</v>
      </c>
      <c r="J14" s="13" t="n">
        <v>0.579</v>
      </c>
      <c r="K14" s="13" t="n">
        <v>0.556</v>
      </c>
      <c r="L14" s="13" t="n">
        <v>0.56</v>
      </c>
      <c r="M14" s="13" t="n">
        <v>0.551</v>
      </c>
      <c r="N14" s="13" t="n">
        <v>0.573</v>
      </c>
      <c r="O14" s="13" t="n">
        <v>0.591</v>
      </c>
      <c r="P14" s="13" t="n">
        <v>0.6</v>
      </c>
    </row>
    <row r="15" customFormat="false" ht="13.8" hidden="false" customHeight="false" outlineLevel="0" collapsed="false">
      <c r="A15" s="11"/>
      <c r="B15" s="12" t="n">
        <v>23</v>
      </c>
      <c r="C15" s="13" t="n">
        <v>0.555</v>
      </c>
      <c r="D15" s="13" t="n">
        <v>0.566</v>
      </c>
      <c r="E15" s="13" t="n">
        <v>0.582</v>
      </c>
      <c r="F15" s="13" t="n">
        <v>0.584</v>
      </c>
      <c r="G15" s="13" t="n">
        <v>0.587</v>
      </c>
      <c r="H15" s="13" t="n">
        <v>0.582</v>
      </c>
      <c r="I15" s="13" t="n">
        <v>0.575</v>
      </c>
      <c r="J15" s="13" t="n">
        <v>0.572</v>
      </c>
      <c r="K15" s="13" t="n">
        <v>0.558</v>
      </c>
      <c r="L15" s="13" t="n">
        <v>0.57</v>
      </c>
      <c r="M15" s="13" t="n">
        <v>0.551</v>
      </c>
      <c r="N15" s="13" t="n">
        <v>0.561</v>
      </c>
      <c r="O15" s="13" t="n">
        <v>0.59</v>
      </c>
      <c r="P15" s="13" t="n">
        <v>0.6</v>
      </c>
    </row>
    <row r="16" customFormat="false" ht="13.8" hidden="false" customHeight="false" outlineLevel="0" collapsed="false">
      <c r="A16" s="14"/>
      <c r="B16" s="12" t="n">
        <v>26</v>
      </c>
      <c r="C16" s="13" t="n">
        <v>0.546</v>
      </c>
      <c r="D16" s="13" t="n">
        <v>0.554</v>
      </c>
      <c r="E16" s="13" t="n">
        <v>0.56</v>
      </c>
      <c r="F16" s="13" t="n">
        <v>0.572</v>
      </c>
      <c r="G16" s="13" t="n">
        <v>0.587</v>
      </c>
      <c r="H16" s="13" t="n">
        <v>0.58</v>
      </c>
      <c r="I16" s="13" t="n">
        <v>0.573</v>
      </c>
      <c r="J16" s="13" t="n">
        <v>0.548</v>
      </c>
      <c r="K16" s="13" t="n">
        <v>0.544</v>
      </c>
      <c r="L16" s="13" t="n">
        <v>0.56</v>
      </c>
      <c r="M16" s="13" t="n">
        <v>0.543</v>
      </c>
      <c r="N16" s="13" t="n">
        <v>0.556</v>
      </c>
      <c r="O16" s="13" t="n">
        <v>0.585</v>
      </c>
      <c r="P16" s="13" t="n">
        <v>0.6</v>
      </c>
    </row>
    <row r="17" customFormat="false" ht="13.8" hidden="false" customHeight="false" outlineLevel="0" collapsed="false">
      <c r="A17" s="14"/>
      <c r="B17" s="12" t="n">
        <v>29</v>
      </c>
      <c r="C17" s="13" t="n">
        <v>0.522</v>
      </c>
      <c r="D17" s="13" t="n">
        <v>0.542</v>
      </c>
      <c r="E17" s="13" t="n">
        <v>0.554</v>
      </c>
      <c r="F17" s="13" t="n">
        <v>0.571</v>
      </c>
      <c r="G17" s="13" t="n">
        <v>0.574</v>
      </c>
      <c r="H17" s="13" t="n">
        <v>0.571</v>
      </c>
      <c r="I17" s="13" t="n">
        <v>0.549</v>
      </c>
      <c r="J17" s="13" t="n">
        <v>0.554</v>
      </c>
      <c r="K17" s="13" t="n">
        <v>0.534</v>
      </c>
      <c r="L17" s="13" t="n">
        <v>0.559</v>
      </c>
      <c r="M17" s="13" t="n">
        <v>0.513</v>
      </c>
      <c r="N17" s="13" t="n">
        <v>0.534</v>
      </c>
      <c r="O17" s="13" t="n">
        <v>0.565</v>
      </c>
      <c r="P17" s="13" t="n">
        <v>0.585</v>
      </c>
    </row>
    <row r="18" customFormat="false" ht="13.8" hidden="false" customHeight="false" outlineLevel="0" collapsed="false">
      <c r="B18" s="12"/>
    </row>
    <row r="19" customFormat="false" ht="13.8" hidden="false" customHeight="false" outlineLevel="0" collapsed="false">
      <c r="B19" s="12"/>
      <c r="C19" s="0" t="n">
        <f aca="false">C4</f>
        <v>240</v>
      </c>
      <c r="D19" s="0" t="n">
        <f aca="false">D4</f>
        <v>250</v>
      </c>
      <c r="E19" s="0" t="n">
        <f aca="false">E4</f>
        <v>260</v>
      </c>
      <c r="F19" s="0" t="n">
        <f aca="false">F4</f>
        <v>270</v>
      </c>
      <c r="G19" s="0" t="str">
        <f aca="false">G4</f>
        <v>Brass 250</v>
      </c>
      <c r="H19" s="0" t="str">
        <f aca="false">H4</f>
        <v>Brass 260</v>
      </c>
      <c r="I19" s="0" t="str">
        <f aca="false">I4</f>
        <v>Volcano 250</v>
      </c>
      <c r="J19" s="0" t="str">
        <f aca="false">J4</f>
        <v>Volcano 260</v>
      </c>
      <c r="K19" s="0" t="str">
        <f aca="false">K4</f>
        <v>250 II</v>
      </c>
      <c r="L19" s="0" t="str">
        <f aca="false">L4</f>
        <v>260 II</v>
      </c>
      <c r="M19" s="0" t="str">
        <f aca="false">M4</f>
        <v>250 F50</v>
      </c>
      <c r="N19" s="0" t="str">
        <f aca="false">N4</f>
        <v>260 F50</v>
      </c>
      <c r="O19" s="0" t="str">
        <f aca="false">O4</f>
        <v>Vlc 250 F50</v>
      </c>
      <c r="P19" s="0" t="str">
        <f aca="false">P4</f>
        <v>Vlc 260 F50</v>
      </c>
    </row>
    <row r="20" customFormat="false" ht="14.4" hidden="false" customHeight="true" outlineLevel="0" collapsed="false">
      <c r="A20" s="11" t="s">
        <v>268</v>
      </c>
      <c r="B20" s="12" t="n">
        <f aca="false">B8</f>
        <v>2</v>
      </c>
      <c r="C20" s="15" t="n">
        <f aca="false">C8/C$5-1</f>
        <v>-0.0958466453674123</v>
      </c>
      <c r="D20" s="15" t="n">
        <f aca="false">D8/D$5-1</f>
        <v>-0.0990415335463259</v>
      </c>
      <c r="E20" s="15" t="n">
        <f aca="false">E8/E$5-1</f>
        <v>-0.0926517571884985</v>
      </c>
      <c r="F20" s="15" t="n">
        <f aca="false">F8/F$5-1</f>
        <v>-0.0830670926517573</v>
      </c>
      <c r="G20" s="15" t="n">
        <f aca="false">G8/G$5-1</f>
        <v>-0.0415335463258786</v>
      </c>
      <c r="H20" s="15" t="n">
        <f aca="false">H8/H$5-1</f>
        <v>-0.0479233226837061</v>
      </c>
      <c r="I20" s="15" t="n">
        <f aca="false">I8/I$5-1</f>
        <v>-0.0750798722044729</v>
      </c>
      <c r="J20" s="15" t="n">
        <f aca="false">J8/J$5-1</f>
        <v>-0.0702875399361023</v>
      </c>
      <c r="K20" s="15" t="n">
        <f aca="false">K8/K$5-1</f>
        <v>-0.103833865814696</v>
      </c>
      <c r="L20" s="15" t="n">
        <f aca="false">L8/L$5-1</f>
        <v>-0.0974440894568691</v>
      </c>
      <c r="M20" s="15" t="n">
        <f aca="false">M8/M$5-1</f>
        <v>-0.115015974440895</v>
      </c>
      <c r="N20" s="15" t="n">
        <f aca="false">N8/N$5-1</f>
        <v>-0.100638977635783</v>
      </c>
      <c r="O20" s="15" t="n">
        <f aca="false">O8/O$5-1</f>
        <v>-0.062300319488818</v>
      </c>
      <c r="P20" s="15" t="n">
        <f aca="false">P8/P$5-1</f>
        <v>-0.0415335463258786</v>
      </c>
    </row>
    <row r="21" customFormat="false" ht="13.8" hidden="false" customHeight="false" outlineLevel="0" collapsed="false">
      <c r="A21" s="11"/>
      <c r="B21" s="12" t="n">
        <f aca="false">B9</f>
        <v>5</v>
      </c>
      <c r="C21" s="15" t="n">
        <f aca="false">C9/C$5-1</f>
        <v>-0.140575079872204</v>
      </c>
      <c r="D21" s="15" t="n">
        <f aca="false">D9/D$5-1</f>
        <v>-0.0990415335463259</v>
      </c>
      <c r="E21" s="15" t="n">
        <f aca="false">E9/E$5-1</f>
        <v>-0.0894568690095847</v>
      </c>
      <c r="F21" s="15" t="n">
        <f aca="false">F9/F$5-1</f>
        <v>-0.0750798722044729</v>
      </c>
      <c r="G21" s="15" t="n">
        <f aca="false">G9/G$5-1</f>
        <v>-0.060702875399361</v>
      </c>
      <c r="H21" s="15" t="n">
        <f aca="false">H9/H$5-1</f>
        <v>-0.0591054313099042</v>
      </c>
      <c r="I21" s="15" t="n">
        <f aca="false">I9/I$5-1</f>
        <v>-0.0814696485623004</v>
      </c>
      <c r="J21" s="15" t="n">
        <f aca="false">J9/J$5-1</f>
        <v>-0.0798722044728435</v>
      </c>
      <c r="K21" s="15" t="n">
        <f aca="false">K9/K$5-1</f>
        <v>-0.110223642172524</v>
      </c>
      <c r="L21" s="15" t="n">
        <f aca="false">L9/L$5-1</f>
        <v>-0.0958466453674123</v>
      </c>
      <c r="M21" s="15" t="n">
        <f aca="false">M9/M$5-1</f>
        <v>-0.119808306709265</v>
      </c>
      <c r="N21" s="15" t="n">
        <f aca="false">N9/N$5-1</f>
        <v>-0.105431309904153</v>
      </c>
      <c r="O21" s="15" t="n">
        <f aca="false">O9/O$5-1</f>
        <v>-0.0670926517571886</v>
      </c>
      <c r="P21" s="15" t="n">
        <f aca="false">P9/P$5-1</f>
        <v>-0.0575079872204474</v>
      </c>
    </row>
    <row r="22" customFormat="false" ht="13.8" hidden="false" customHeight="false" outlineLevel="0" collapsed="false">
      <c r="A22" s="11"/>
      <c r="B22" s="12" t="n">
        <f aca="false">B10</f>
        <v>8</v>
      </c>
      <c r="C22" s="15" t="n">
        <f aca="false">C10/C$5-1</f>
        <v>-0.143769968051118</v>
      </c>
      <c r="D22" s="15" t="n">
        <f aca="false">D10/D$5-1</f>
        <v>-0.10223642172524</v>
      </c>
      <c r="E22" s="15" t="n">
        <f aca="false">E10/E$5-1</f>
        <v>-0.0894568690095847</v>
      </c>
      <c r="F22" s="15" t="n">
        <f aca="false">F10/F$5-1</f>
        <v>-0.0782747603833867</v>
      </c>
      <c r="G22" s="15" t="n">
        <f aca="false">G10/G$5-1</f>
        <v>-0.0415335463258786</v>
      </c>
      <c r="H22" s="15" t="n">
        <f aca="false">H10/H$5-1</f>
        <v>-0.0559105431309904</v>
      </c>
      <c r="I22" s="15" t="n">
        <f aca="false">I10/I$5-1</f>
        <v>-0.0846645367412141</v>
      </c>
      <c r="J22" s="15" t="n">
        <f aca="false">J10/J$5-1</f>
        <v>-0.0702875399361023</v>
      </c>
      <c r="K22" s="15" t="n">
        <f aca="false">K10/K$5-1</f>
        <v>-0.116613418530351</v>
      </c>
      <c r="L22" s="15" t="n">
        <f aca="false">L10/L$5-1</f>
        <v>-0.108626198083067</v>
      </c>
      <c r="M22" s="15" t="n">
        <f aca="false">M10/M$5-1</f>
        <v>-0.124600638977636</v>
      </c>
      <c r="N22" s="15" t="n">
        <f aca="false">N10/N$5-1</f>
        <v>-0.0926517571884985</v>
      </c>
      <c r="O22" s="15" t="n">
        <f aca="false">O10/O$5-1</f>
        <v>-0.0702875399361023</v>
      </c>
      <c r="P22" s="15" t="n">
        <f aca="false">P10/P$5-1</f>
        <v>-0.0415335463258786</v>
      </c>
    </row>
    <row r="23" customFormat="false" ht="13.8" hidden="false" customHeight="false" outlineLevel="0" collapsed="false">
      <c r="A23" s="11"/>
      <c r="B23" s="12" t="n">
        <f aca="false">B11</f>
        <v>11</v>
      </c>
      <c r="C23" s="15" t="n">
        <f aca="false">C11/C$5-1</f>
        <v>-0.130990415335463</v>
      </c>
      <c r="D23" s="15" t="n">
        <f aca="false">D11/D$5-1</f>
        <v>-0.0926517571884985</v>
      </c>
      <c r="E23" s="15" t="n">
        <f aca="false">E11/E$5-1</f>
        <v>-0.0894568690095847</v>
      </c>
      <c r="F23" s="15" t="n">
        <f aca="false">F11/F$5-1</f>
        <v>-0.0750798722044729</v>
      </c>
      <c r="G23" s="15" t="n">
        <f aca="false">G11/G$5-1</f>
        <v>-0.062300319488818</v>
      </c>
      <c r="H23" s="15" t="n">
        <f aca="false">H11/H$5-1</f>
        <v>-0.0591054313099042</v>
      </c>
      <c r="I23" s="15" t="n">
        <f aca="false">I11/I$5-1</f>
        <v>-0.0782747603833867</v>
      </c>
      <c r="J23" s="15" t="n">
        <f aca="false">J11/J$5-1</f>
        <v>-0.0830670926517573</v>
      </c>
      <c r="K23" s="15" t="n">
        <f aca="false">K11/K$5-1</f>
        <v>-0.118210862619808</v>
      </c>
      <c r="L23" s="15" t="n">
        <f aca="false">L11/L$5-1</f>
        <v>-0.0958466453674123</v>
      </c>
      <c r="M23" s="15" t="n">
        <f aca="false">M11/M$5-1</f>
        <v>-0.118210862619808</v>
      </c>
      <c r="N23" s="15" t="n">
        <f aca="false">N11/N$5-1</f>
        <v>-0.0926517571884985</v>
      </c>
      <c r="O23" s="15" t="n">
        <f aca="false">O11/O$5-1</f>
        <v>-0.0638977635782748</v>
      </c>
      <c r="P23" s="15" t="n">
        <f aca="false">P11/P$5-1</f>
        <v>-0.049520766773163</v>
      </c>
    </row>
    <row r="24" customFormat="false" ht="13.8" hidden="false" customHeight="false" outlineLevel="0" collapsed="false">
      <c r="A24" s="11"/>
      <c r="B24" s="12" t="n">
        <f aca="false">B12</f>
        <v>14</v>
      </c>
      <c r="C24" s="15" t="n">
        <f aca="false">C12/C$5-1</f>
        <v>-0.124600638977636</v>
      </c>
      <c r="D24" s="15" t="n">
        <f aca="false">D12/D$5-1</f>
        <v>-0.105431309904153</v>
      </c>
      <c r="E24" s="15" t="n">
        <f aca="false">E12/E$5-1</f>
        <v>-0.0942492012779553</v>
      </c>
      <c r="F24" s="15" t="n">
        <f aca="false">F12/F$5-1</f>
        <v>-0.0782747603833867</v>
      </c>
      <c r="G24" s="15" t="n">
        <f aca="false">G12/G$5-1</f>
        <v>-0.0527156549520768</v>
      </c>
      <c r="H24" s="15" t="n">
        <f aca="false">H12/H$5-1</f>
        <v>-0.0575079872204474</v>
      </c>
      <c r="I24" s="15" t="n">
        <f aca="false">I12/I$5-1</f>
        <v>-0.0830670926517573</v>
      </c>
      <c r="J24" s="15" t="n">
        <f aca="false">J12/J$5-1</f>
        <v>-0.073482428115016</v>
      </c>
      <c r="K24" s="15" t="n">
        <f aca="false">K12/K$5-1</f>
        <v>-0.115015974440895</v>
      </c>
      <c r="L24" s="15" t="n">
        <f aca="false">L12/L$5-1</f>
        <v>-0.108626198083067</v>
      </c>
      <c r="M24" s="15" t="n">
        <f aca="false">M12/M$5-1</f>
        <v>-0.118210862619808</v>
      </c>
      <c r="N24" s="15" t="n">
        <f aca="false">N12/N$5-1</f>
        <v>-0.0926517571884985</v>
      </c>
      <c r="O24" s="15" t="n">
        <f aca="false">O12/O$5-1</f>
        <v>-0.0591054313099042</v>
      </c>
      <c r="P24" s="15" t="n">
        <f aca="false">P12/P$5-1</f>
        <v>-0.0415335463258786</v>
      </c>
    </row>
    <row r="25" customFormat="false" ht="13.8" hidden="false" customHeight="false" outlineLevel="0" collapsed="false">
      <c r="A25" s="11"/>
      <c r="B25" s="12" t="n">
        <f aca="false">B13</f>
        <v>17</v>
      </c>
      <c r="C25" s="15" t="n">
        <f aca="false">C13/C$5-1</f>
        <v>-0.118210862619808</v>
      </c>
      <c r="D25" s="15" t="n">
        <f aca="false">D13/D$5-1</f>
        <v>-0.100638977635783</v>
      </c>
      <c r="E25" s="15" t="n">
        <f aca="false">E13/E$5-1</f>
        <v>-0.0830670926517573</v>
      </c>
      <c r="F25" s="15" t="n">
        <f aca="false">F13/F$5-1</f>
        <v>-0.0766773162939298</v>
      </c>
      <c r="G25" s="15" t="n">
        <f aca="false">G13/G$5-1</f>
        <v>-0.062300319488818</v>
      </c>
      <c r="H25" s="15" t="n">
        <f aca="false">H13/H$5-1</f>
        <v>-0.0686900958466454</v>
      </c>
      <c r="I25" s="15" t="n">
        <f aca="false">I13/I$5-1</f>
        <v>-0.0846645367412141</v>
      </c>
      <c r="J25" s="15" t="n">
        <f aca="false">J13/J$5-1</f>
        <v>-0.0798722044728435</v>
      </c>
      <c r="K25" s="15" t="n">
        <f aca="false">K13/K$5-1</f>
        <v>-0.111821086261981</v>
      </c>
      <c r="L25" s="15" t="n">
        <f aca="false">L13/L$5-1</f>
        <v>-0.0974440894568691</v>
      </c>
      <c r="M25" s="15" t="n">
        <f aca="false">M13/M$5-1</f>
        <v>-0.115015974440895</v>
      </c>
      <c r="N25" s="15" t="n">
        <f aca="false">N13/N$5-1</f>
        <v>-0.0958466453674123</v>
      </c>
      <c r="O25" s="15" t="n">
        <f aca="false">O13/O$5-1</f>
        <v>-0.0479233226837061</v>
      </c>
      <c r="P25" s="15" t="n">
        <f aca="false">P13/P$5-1</f>
        <v>-0.0415335463258786</v>
      </c>
    </row>
    <row r="26" customFormat="false" ht="13.8" hidden="false" customHeight="false" outlineLevel="0" collapsed="false">
      <c r="A26" s="11"/>
      <c r="B26" s="12" t="n">
        <f aca="false">B14</f>
        <v>20</v>
      </c>
      <c r="C26" s="15" t="n">
        <f aca="false">C14/C$5-1</f>
        <v>-0.118210862619808</v>
      </c>
      <c r="D26" s="15" t="n">
        <f aca="false">D14/D$5-1</f>
        <v>-0.105431309904153</v>
      </c>
      <c r="E26" s="15" t="n">
        <f aca="false">E14/E$5-1</f>
        <v>-0.0974440894568691</v>
      </c>
      <c r="F26" s="15" t="n">
        <f aca="false">F14/F$5-1</f>
        <v>-0.0830670926517573</v>
      </c>
      <c r="G26" s="15" t="n">
        <f aca="false">G14/G$5-1</f>
        <v>-0.0575079872204474</v>
      </c>
      <c r="H26" s="15" t="n">
        <f aca="false">H14/H$5-1</f>
        <v>-0.0638977635782748</v>
      </c>
      <c r="I26" s="15" t="n">
        <f aca="false">I14/I$5-1</f>
        <v>-0.0798722044728435</v>
      </c>
      <c r="J26" s="15" t="n">
        <f aca="false">J14/J$5-1</f>
        <v>-0.0750798722044729</v>
      </c>
      <c r="K26" s="15" t="n">
        <f aca="false">K14/K$5-1</f>
        <v>-0.111821086261981</v>
      </c>
      <c r="L26" s="15" t="n">
        <f aca="false">L14/L$5-1</f>
        <v>-0.105431309904153</v>
      </c>
      <c r="M26" s="15" t="n">
        <f aca="false">M14/M$5-1</f>
        <v>-0.119808306709265</v>
      </c>
      <c r="N26" s="15" t="n">
        <f aca="false">N14/N$5-1</f>
        <v>-0.0846645367412141</v>
      </c>
      <c r="O26" s="15" t="n">
        <f aca="false">O14/O$5-1</f>
        <v>-0.0559105431309904</v>
      </c>
      <c r="P26" s="15" t="n">
        <f aca="false">P14/P$5-1</f>
        <v>-0.0415335463258786</v>
      </c>
    </row>
    <row r="27" customFormat="false" ht="13.8" hidden="false" customHeight="false" outlineLevel="0" collapsed="false">
      <c r="A27" s="11"/>
      <c r="B27" s="12" t="n">
        <f aca="false">B15</f>
        <v>23</v>
      </c>
      <c r="C27" s="15" t="n">
        <f aca="false">C15/C$5-1</f>
        <v>-0.113418530351438</v>
      </c>
      <c r="D27" s="15" t="n">
        <f aca="false">D15/D$5-1</f>
        <v>-0.0958466453674123</v>
      </c>
      <c r="E27" s="15" t="n">
        <f aca="false">E15/E$5-1</f>
        <v>-0.0702875399361023</v>
      </c>
      <c r="F27" s="15" t="n">
        <f aca="false">F15/F$5-1</f>
        <v>-0.0670926517571886</v>
      </c>
      <c r="G27" s="15" t="n">
        <f aca="false">G15/G$5-1</f>
        <v>-0.062300319488818</v>
      </c>
      <c r="H27" s="15" t="n">
        <f aca="false">H15/H$5-1</f>
        <v>-0.0702875399361023</v>
      </c>
      <c r="I27" s="15" t="n">
        <f aca="false">I15/I$5-1</f>
        <v>-0.0814696485623004</v>
      </c>
      <c r="J27" s="15" t="n">
        <f aca="false">J15/J$5-1</f>
        <v>-0.086261980830671</v>
      </c>
      <c r="K27" s="15" t="n">
        <f aca="false">K15/K$5-1</f>
        <v>-0.108626198083067</v>
      </c>
      <c r="L27" s="15" t="n">
        <f aca="false">L15/L$5-1</f>
        <v>-0.0894568690095847</v>
      </c>
      <c r="M27" s="15" t="n">
        <f aca="false">M15/M$5-1</f>
        <v>-0.119808306709265</v>
      </c>
      <c r="N27" s="15" t="n">
        <f aca="false">N15/N$5-1</f>
        <v>-0.103833865814696</v>
      </c>
      <c r="O27" s="15" t="n">
        <f aca="false">O15/O$5-1</f>
        <v>-0.0575079872204474</v>
      </c>
      <c r="P27" s="15" t="n">
        <f aca="false">P15/P$5-1</f>
        <v>-0.0415335463258786</v>
      </c>
    </row>
    <row r="28" customFormat="false" ht="13.8" hidden="false" customHeight="false" outlineLevel="0" collapsed="false">
      <c r="A28" s="14"/>
      <c r="B28" s="12" t="n">
        <f aca="false">B16</f>
        <v>26</v>
      </c>
      <c r="C28" s="15" t="n">
        <f aca="false">C16/C$5-1</f>
        <v>-0.127795527156549</v>
      </c>
      <c r="D28" s="15" t="n">
        <f aca="false">D16/D$5-1</f>
        <v>-0.115015974440895</v>
      </c>
      <c r="E28" s="15" t="n">
        <f aca="false">E16/E$5-1</f>
        <v>-0.105431309904153</v>
      </c>
      <c r="F28" s="15" t="n">
        <f aca="false">F16/F$5-1</f>
        <v>-0.086261980830671</v>
      </c>
      <c r="G28" s="15" t="n">
        <f aca="false">G16/G$5-1</f>
        <v>-0.062300319488818</v>
      </c>
      <c r="H28" s="15" t="n">
        <f aca="false">H16/H$5-1</f>
        <v>-0.073482428115016</v>
      </c>
      <c r="I28" s="15" t="n">
        <f aca="false">I16/I$5-1</f>
        <v>-0.0846645367412141</v>
      </c>
      <c r="J28" s="15" t="n">
        <f aca="false">J16/J$5-1</f>
        <v>-0.124600638977636</v>
      </c>
      <c r="K28" s="15" t="n">
        <f aca="false">K16/K$5-1</f>
        <v>-0.130990415335463</v>
      </c>
      <c r="L28" s="15" t="n">
        <f aca="false">L16/L$5-1</f>
        <v>-0.105431309904153</v>
      </c>
      <c r="M28" s="15" t="n">
        <f aca="false">M16/M$5-1</f>
        <v>-0.13258785942492</v>
      </c>
      <c r="N28" s="15" t="n">
        <f aca="false">N16/N$5-1</f>
        <v>-0.111821086261981</v>
      </c>
      <c r="O28" s="15" t="n">
        <f aca="false">O16/O$5-1</f>
        <v>-0.0654952076677316</v>
      </c>
      <c r="P28" s="15" t="n">
        <f aca="false">P16/P$5-1</f>
        <v>-0.0415335463258786</v>
      </c>
    </row>
    <row r="29" customFormat="false" ht="13.8" hidden="false" customHeight="false" outlineLevel="0" collapsed="false">
      <c r="A29" s="14"/>
      <c r="B29" s="12" t="n">
        <f aca="false">B17</f>
        <v>29</v>
      </c>
      <c r="C29" s="15" t="n">
        <f aca="false">C17/C$5-1</f>
        <v>-0.166134185303514</v>
      </c>
      <c r="D29" s="15" t="n">
        <f aca="false">D17/D$5-1</f>
        <v>-0.134185303514377</v>
      </c>
      <c r="E29" s="15" t="n">
        <f aca="false">E17/E$5-1</f>
        <v>-0.115015974440895</v>
      </c>
      <c r="F29" s="15" t="n">
        <f aca="false">F17/F$5-1</f>
        <v>-0.0878594249201279</v>
      </c>
      <c r="G29" s="15" t="n">
        <f aca="false">G17/G$5-1</f>
        <v>-0.0830670926517573</v>
      </c>
      <c r="H29" s="15" t="n">
        <f aca="false">H17/H$5-1</f>
        <v>-0.0878594249201279</v>
      </c>
      <c r="I29" s="15" t="n">
        <f aca="false">I17/I$5-1</f>
        <v>-0.123003194888179</v>
      </c>
      <c r="J29" s="15" t="n">
        <f aca="false">J17/J$5-1</f>
        <v>-0.115015974440895</v>
      </c>
      <c r="K29" s="15" t="n">
        <f aca="false">K17/K$5-1</f>
        <v>-0.146964856230032</v>
      </c>
      <c r="L29" s="15" t="n">
        <f aca="false">L17/L$5-1</f>
        <v>-0.10702875399361</v>
      </c>
      <c r="M29" s="15" t="n">
        <f aca="false">M17/M$5-1</f>
        <v>-0.180511182108626</v>
      </c>
      <c r="N29" s="15" t="n">
        <f aca="false">N17/N$5-1</f>
        <v>-0.146964856230032</v>
      </c>
      <c r="O29" s="15" t="n">
        <f aca="false">O17/O$5-1</f>
        <v>-0.0974440894568691</v>
      </c>
      <c r="P29" s="15" t="n">
        <f aca="false">P17/P$5-1</f>
        <v>-0.0654952076677316</v>
      </c>
    </row>
    <row r="30" customFormat="false" ht="13.8" hidden="false" customHeight="false" outlineLevel="0" collapsed="false">
      <c r="B30" s="12"/>
    </row>
    <row r="31" customFormat="false" ht="14.4" hidden="false" customHeight="true" outlineLevel="0" collapsed="false">
      <c r="A31" s="11" t="s">
        <v>269</v>
      </c>
      <c r="B31" s="12" t="n">
        <f aca="false">B8</f>
        <v>2</v>
      </c>
      <c r="C31" s="16" t="n">
        <f aca="false">$B31*(C20+1)</f>
        <v>1.80830670926518</v>
      </c>
      <c r="D31" s="16" t="n">
        <f aca="false">$B31*(D20+1)</f>
        <v>1.80191693290735</v>
      </c>
      <c r="E31" s="16" t="n">
        <f aca="false">$B31*(E20+1)</f>
        <v>1.814696485623</v>
      </c>
      <c r="F31" s="16" t="n">
        <f aca="false">$B31*(F20+1)</f>
        <v>1.83386581469649</v>
      </c>
      <c r="G31" s="16" t="n">
        <f aca="false">$B31*(G20+1)</f>
        <v>1.91693290734824</v>
      </c>
      <c r="H31" s="16" t="n">
        <f aca="false">$B31*(H20+1)</f>
        <v>1.90415335463259</v>
      </c>
      <c r="I31" s="16" t="n">
        <f aca="false">$B31*(I20+1)</f>
        <v>1.84984025559105</v>
      </c>
      <c r="J31" s="16" t="n">
        <f aca="false">$B31*(J20+1)</f>
        <v>1.8594249201278</v>
      </c>
      <c r="K31" s="16" t="n">
        <f aca="false">$B31*(K20+1)</f>
        <v>1.79233226837061</v>
      </c>
      <c r="L31" s="16" t="n">
        <f aca="false">$B31*(L20+1)</f>
        <v>1.80511182108626</v>
      </c>
      <c r="M31" s="16" t="n">
        <f aca="false">$B31*(M20+1)</f>
        <v>1.76996805111821</v>
      </c>
      <c r="N31" s="16" t="n">
        <f aca="false">$B31*(N20+1)</f>
        <v>1.79872204472843</v>
      </c>
      <c r="O31" s="16" t="n">
        <f aca="false">$B31*(O20+1)</f>
        <v>1.87539936102236</v>
      </c>
      <c r="P31" s="16" t="n">
        <f aca="false">$B31*(P20+1)</f>
        <v>1.91693290734824</v>
      </c>
    </row>
    <row r="32" customFormat="false" ht="13.8" hidden="false" customHeight="false" outlineLevel="0" collapsed="false">
      <c r="A32" s="11"/>
      <c r="B32" s="12" t="n">
        <f aca="false">B9</f>
        <v>5</v>
      </c>
      <c r="C32" s="16" t="n">
        <f aca="false">$B32*(C21+1)</f>
        <v>4.29712460063898</v>
      </c>
      <c r="D32" s="16" t="n">
        <f aca="false">$B32*(D21+1)</f>
        <v>4.50479233226837</v>
      </c>
      <c r="E32" s="16" t="n">
        <f aca="false">$B32*(E21+1)</f>
        <v>4.55271565495208</v>
      </c>
      <c r="F32" s="16" t="n">
        <f aca="false">$B32*(F21+1)</f>
        <v>4.62460063897764</v>
      </c>
      <c r="G32" s="16" t="n">
        <f aca="false">$B32*(G21+1)</f>
        <v>4.6964856230032</v>
      </c>
      <c r="H32" s="16" t="n">
        <f aca="false">$B32*(H21+1)</f>
        <v>4.70447284345048</v>
      </c>
      <c r="I32" s="16" t="n">
        <f aca="false">$B32*(I21+1)</f>
        <v>4.5926517571885</v>
      </c>
      <c r="J32" s="16" t="n">
        <f aca="false">$B32*(J21+1)</f>
        <v>4.60063897763578</v>
      </c>
      <c r="K32" s="16" t="n">
        <f aca="false">$B32*(K21+1)</f>
        <v>4.44888178913738</v>
      </c>
      <c r="L32" s="16" t="n">
        <f aca="false">$B32*(L21+1)</f>
        <v>4.52076677316294</v>
      </c>
      <c r="M32" s="16" t="n">
        <f aca="false">$B32*(M21+1)</f>
        <v>4.40095846645367</v>
      </c>
      <c r="N32" s="16" t="n">
        <f aca="false">$B32*(N21+1)</f>
        <v>4.47284345047923</v>
      </c>
      <c r="O32" s="16" t="n">
        <f aca="false">$B32*(O21+1)</f>
        <v>4.66453674121406</v>
      </c>
      <c r="P32" s="16" t="n">
        <f aca="false">$B32*(P21+1)</f>
        <v>4.71246006389776</v>
      </c>
    </row>
    <row r="33" customFormat="false" ht="13.8" hidden="false" customHeight="false" outlineLevel="0" collapsed="false">
      <c r="A33" s="11"/>
      <c r="B33" s="12" t="n">
        <f aca="false">B10</f>
        <v>8</v>
      </c>
      <c r="C33" s="16" t="n">
        <f aca="false">$B33*(C22+1)</f>
        <v>6.84984025559105</v>
      </c>
      <c r="D33" s="16" t="n">
        <f aca="false">$B33*(D22+1)</f>
        <v>7.18210862619808</v>
      </c>
      <c r="E33" s="16" t="n">
        <f aca="false">$B33*(E22+1)</f>
        <v>7.28434504792332</v>
      </c>
      <c r="F33" s="16" t="n">
        <f aca="false">$B33*(F22+1)</f>
        <v>7.37380191693291</v>
      </c>
      <c r="G33" s="16" t="n">
        <f aca="false">$B33*(G22+1)</f>
        <v>7.66773162939297</v>
      </c>
      <c r="H33" s="16" t="n">
        <f aca="false">$B33*(H22+1)</f>
        <v>7.55271565495208</v>
      </c>
      <c r="I33" s="16" t="n">
        <f aca="false">$B33*(I22+1)</f>
        <v>7.32268370607029</v>
      </c>
      <c r="J33" s="16" t="n">
        <f aca="false">$B33*(J22+1)</f>
        <v>7.43769968051118</v>
      </c>
      <c r="K33" s="16" t="n">
        <f aca="false">$B33*(K22+1)</f>
        <v>7.06709265175719</v>
      </c>
      <c r="L33" s="16" t="n">
        <f aca="false">$B33*(L22+1)</f>
        <v>7.13099041533546</v>
      </c>
      <c r="M33" s="16" t="n">
        <f aca="false">$B33*(M22+1)</f>
        <v>7.00319488817891</v>
      </c>
      <c r="N33" s="16" t="n">
        <f aca="false">$B33*(N22+1)</f>
        <v>7.25878594249201</v>
      </c>
      <c r="O33" s="16" t="n">
        <f aca="false">$B33*(O22+1)</f>
        <v>7.43769968051118</v>
      </c>
      <c r="P33" s="16" t="n">
        <f aca="false">$B33*(P22+1)</f>
        <v>7.66773162939297</v>
      </c>
    </row>
    <row r="34" customFormat="false" ht="13.8" hidden="false" customHeight="false" outlineLevel="0" collapsed="false">
      <c r="A34" s="11"/>
      <c r="B34" s="12" t="n">
        <f aca="false">B11</f>
        <v>11</v>
      </c>
      <c r="C34" s="16" t="n">
        <f aca="false">$B34*(C23+1)</f>
        <v>9.55910543130991</v>
      </c>
      <c r="D34" s="16" t="n">
        <f aca="false">$B34*(D23+1)</f>
        <v>9.98083067092652</v>
      </c>
      <c r="E34" s="16" t="n">
        <f aca="false">$B34*(E23+1)</f>
        <v>10.0159744408946</v>
      </c>
      <c r="F34" s="16" t="n">
        <f aca="false">$B34*(F23+1)</f>
        <v>10.1741214057508</v>
      </c>
      <c r="G34" s="16" t="n">
        <f aca="false">$B34*(G23+1)</f>
        <v>10.314696485623</v>
      </c>
      <c r="H34" s="16" t="n">
        <f aca="false">$B34*(H23+1)</f>
        <v>10.3498402555911</v>
      </c>
      <c r="I34" s="16" t="n">
        <f aca="false">$B34*(I23+1)</f>
        <v>10.1389776357827</v>
      </c>
      <c r="J34" s="16" t="n">
        <f aca="false">$B34*(J23+1)</f>
        <v>10.0862619808307</v>
      </c>
      <c r="K34" s="16" t="n">
        <f aca="false">$B34*(K23+1)</f>
        <v>9.69968051118211</v>
      </c>
      <c r="L34" s="16" t="n">
        <f aca="false">$B34*(L23+1)</f>
        <v>9.94568690095847</v>
      </c>
      <c r="M34" s="16" t="n">
        <f aca="false">$B34*(M23+1)</f>
        <v>9.69968051118211</v>
      </c>
      <c r="N34" s="16" t="n">
        <f aca="false">$B34*(N23+1)</f>
        <v>9.98083067092652</v>
      </c>
      <c r="O34" s="16" t="n">
        <f aca="false">$B34*(O23+1)</f>
        <v>10.297124600639</v>
      </c>
      <c r="P34" s="16" t="n">
        <f aca="false">$B34*(P23+1)</f>
        <v>10.4552715654952</v>
      </c>
    </row>
    <row r="35" customFormat="false" ht="13.8" hidden="false" customHeight="false" outlineLevel="0" collapsed="false">
      <c r="A35" s="11"/>
      <c r="B35" s="12" t="n">
        <f aca="false">B12</f>
        <v>14</v>
      </c>
      <c r="C35" s="16" t="n">
        <f aca="false">$B35*(C24+1)</f>
        <v>12.2555910543131</v>
      </c>
      <c r="D35" s="16" t="n">
        <f aca="false">$B35*(D24+1)</f>
        <v>12.5239616613419</v>
      </c>
      <c r="E35" s="16" t="n">
        <f aca="false">$B35*(E24+1)</f>
        <v>12.6805111821086</v>
      </c>
      <c r="F35" s="16" t="n">
        <f aca="false">$B35*(F24+1)</f>
        <v>12.9041533546326</v>
      </c>
      <c r="G35" s="16" t="n">
        <f aca="false">$B35*(G24+1)</f>
        <v>13.2619808306709</v>
      </c>
      <c r="H35" s="16" t="n">
        <f aca="false">$B35*(H24+1)</f>
        <v>13.1948881789137</v>
      </c>
      <c r="I35" s="16" t="n">
        <f aca="false">$B35*(I24+1)</f>
        <v>12.8370607028754</v>
      </c>
      <c r="J35" s="16" t="n">
        <f aca="false">$B35*(J24+1)</f>
        <v>12.9712460063898</v>
      </c>
      <c r="K35" s="16" t="n">
        <f aca="false">$B35*(K24+1)</f>
        <v>12.3897763578275</v>
      </c>
      <c r="L35" s="16" t="n">
        <f aca="false">$B35*(L24+1)</f>
        <v>12.4792332268371</v>
      </c>
      <c r="M35" s="16" t="n">
        <f aca="false">$B35*(M24+1)</f>
        <v>12.3450479233227</v>
      </c>
      <c r="N35" s="16" t="n">
        <f aca="false">$B35*(N24+1)</f>
        <v>12.702875399361</v>
      </c>
      <c r="O35" s="16" t="n">
        <f aca="false">$B35*(O24+1)</f>
        <v>13.1725239616613</v>
      </c>
      <c r="P35" s="16" t="n">
        <f aca="false">$B35*(P24+1)</f>
        <v>13.4185303514377</v>
      </c>
    </row>
    <row r="36" customFormat="false" ht="13.8" hidden="false" customHeight="false" outlineLevel="0" collapsed="false">
      <c r="A36" s="11"/>
      <c r="B36" s="12" t="n">
        <f aca="false">B13</f>
        <v>17</v>
      </c>
      <c r="C36" s="16" t="n">
        <f aca="false">$B36*(C25+1)</f>
        <v>14.9904153354633</v>
      </c>
      <c r="D36" s="16" t="n">
        <f aca="false">$B36*(D25+1)</f>
        <v>15.2891373801917</v>
      </c>
      <c r="E36" s="16" t="n">
        <f aca="false">$B36*(E25+1)</f>
        <v>15.5878594249201</v>
      </c>
      <c r="F36" s="16" t="n">
        <f aca="false">$B36*(F25+1)</f>
        <v>15.6964856230032</v>
      </c>
      <c r="G36" s="16" t="n">
        <f aca="false">$B36*(G25+1)</f>
        <v>15.9408945686901</v>
      </c>
      <c r="H36" s="16" t="n">
        <f aca="false">$B36*(H25+1)</f>
        <v>15.832268370607</v>
      </c>
      <c r="I36" s="16" t="n">
        <f aca="false">$B36*(I25+1)</f>
        <v>15.5607028753994</v>
      </c>
      <c r="J36" s="16" t="n">
        <f aca="false">$B36*(J25+1)</f>
        <v>15.6421725239617</v>
      </c>
      <c r="K36" s="16" t="n">
        <f aca="false">$B36*(K25+1)</f>
        <v>15.0990415335463</v>
      </c>
      <c r="L36" s="16" t="n">
        <f aca="false">$B36*(L25+1)</f>
        <v>15.3434504792332</v>
      </c>
      <c r="M36" s="16" t="n">
        <f aca="false">$B36*(M25+1)</f>
        <v>15.0447284345048</v>
      </c>
      <c r="N36" s="16" t="n">
        <f aca="false">$B36*(N25+1)</f>
        <v>15.370607028754</v>
      </c>
      <c r="O36" s="16" t="n">
        <f aca="false">$B36*(O25+1)</f>
        <v>16.185303514377</v>
      </c>
      <c r="P36" s="16" t="n">
        <f aca="false">$B36*(P25+1)</f>
        <v>16.2939297124601</v>
      </c>
    </row>
    <row r="37" customFormat="false" ht="13.8" hidden="false" customHeight="false" outlineLevel="0" collapsed="false">
      <c r="A37" s="11"/>
      <c r="B37" s="12" t="n">
        <f aca="false">B14</f>
        <v>20</v>
      </c>
      <c r="C37" s="16" t="n">
        <f aca="false">$B37*(C26+1)</f>
        <v>17.6357827476038</v>
      </c>
      <c r="D37" s="16" t="n">
        <f aca="false">$B37*(D26+1)</f>
        <v>17.8913738019169</v>
      </c>
      <c r="E37" s="16" t="n">
        <f aca="false">$B37*(E26+1)</f>
        <v>18.0511182108626</v>
      </c>
      <c r="F37" s="16" t="n">
        <f aca="false">$B37*(F26+1)</f>
        <v>18.3386581469649</v>
      </c>
      <c r="G37" s="16" t="n">
        <f aca="false">$B37*(G26+1)</f>
        <v>18.8498402555911</v>
      </c>
      <c r="H37" s="16" t="n">
        <f aca="false">$B37*(H26+1)</f>
        <v>18.7220447284345</v>
      </c>
      <c r="I37" s="16" t="n">
        <f aca="false">$B37*(I26+1)</f>
        <v>18.4025559105431</v>
      </c>
      <c r="J37" s="16" t="n">
        <f aca="false">$B37*(J26+1)</f>
        <v>18.4984025559105</v>
      </c>
      <c r="K37" s="16" t="n">
        <f aca="false">$B37*(K26+1)</f>
        <v>17.7635782747604</v>
      </c>
      <c r="L37" s="16" t="n">
        <f aca="false">$B37*(L26+1)</f>
        <v>17.8913738019169</v>
      </c>
      <c r="M37" s="16" t="n">
        <f aca="false">$B37*(M26+1)</f>
        <v>17.6038338658147</v>
      </c>
      <c r="N37" s="16" t="n">
        <f aca="false">$B37*(N26+1)</f>
        <v>18.3067092651757</v>
      </c>
      <c r="O37" s="16" t="n">
        <f aca="false">$B37*(O26+1)</f>
        <v>18.8817891373802</v>
      </c>
      <c r="P37" s="16" t="n">
        <f aca="false">$B37*(P26+1)</f>
        <v>19.1693290734824</v>
      </c>
    </row>
    <row r="38" customFormat="false" ht="13.8" hidden="false" customHeight="false" outlineLevel="0" collapsed="false">
      <c r="A38" s="11"/>
      <c r="B38" s="12" t="n">
        <f aca="false">B15</f>
        <v>23</v>
      </c>
      <c r="C38" s="16" t="n">
        <f aca="false">$B38*(C27+1)</f>
        <v>20.3913738019169</v>
      </c>
      <c r="D38" s="16" t="n">
        <f aca="false">$B38*(D27+1)</f>
        <v>20.7955271565495</v>
      </c>
      <c r="E38" s="16" t="n">
        <f aca="false">$B38*(E27+1)</f>
        <v>21.3833865814696</v>
      </c>
      <c r="F38" s="16" t="n">
        <f aca="false">$B38*(F27+1)</f>
        <v>21.4568690095847</v>
      </c>
      <c r="G38" s="16" t="n">
        <f aca="false">$B38*(G27+1)</f>
        <v>21.5670926517572</v>
      </c>
      <c r="H38" s="16" t="n">
        <f aca="false">$B38*(H27+1)</f>
        <v>21.3833865814696</v>
      </c>
      <c r="I38" s="16" t="n">
        <f aca="false">$B38*(I27+1)</f>
        <v>21.1261980830671</v>
      </c>
      <c r="J38" s="16" t="n">
        <f aca="false">$B38*(J27+1)</f>
        <v>21.0159744408946</v>
      </c>
      <c r="K38" s="16" t="n">
        <f aca="false">$B38*(K27+1)</f>
        <v>20.5015974440895</v>
      </c>
      <c r="L38" s="16" t="n">
        <f aca="false">$B38*(L27+1)</f>
        <v>20.9424920127796</v>
      </c>
      <c r="M38" s="16" t="n">
        <f aca="false">$B38*(M27+1)</f>
        <v>20.2444089456869</v>
      </c>
      <c r="N38" s="16" t="n">
        <f aca="false">$B38*(N27+1)</f>
        <v>20.611821086262</v>
      </c>
      <c r="O38" s="16" t="n">
        <f aca="false">$B38*(O27+1)</f>
        <v>21.6773162939297</v>
      </c>
      <c r="P38" s="16" t="n">
        <f aca="false">$B38*(P27+1)</f>
        <v>22.0447284345048</v>
      </c>
    </row>
    <row r="39" customFormat="false" ht="13.8" hidden="false" customHeight="false" outlineLevel="0" collapsed="false">
      <c r="A39" s="14"/>
      <c r="B39" s="12" t="n">
        <f aca="false">B16</f>
        <v>26</v>
      </c>
      <c r="C39" s="16" t="n">
        <f aca="false">$B39*(C28+1)</f>
        <v>22.6773162939297</v>
      </c>
      <c r="D39" s="16" t="n">
        <f aca="false">$B39*(D28+1)</f>
        <v>23.0095846645367</v>
      </c>
      <c r="E39" s="16" t="n">
        <f aca="false">$B39*(E28+1)</f>
        <v>23.258785942492</v>
      </c>
      <c r="F39" s="16" t="n">
        <f aca="false">$B39*(F28+1)</f>
        <v>23.7571884984025</v>
      </c>
      <c r="G39" s="16" t="n">
        <f aca="false">$B39*(G28+1)</f>
        <v>24.3801916932907</v>
      </c>
      <c r="H39" s="16" t="n">
        <f aca="false">$B39*(H28+1)</f>
        <v>24.0894568690096</v>
      </c>
      <c r="I39" s="16" t="n">
        <f aca="false">$B39*(I28+1)</f>
        <v>23.7987220447284</v>
      </c>
      <c r="J39" s="16" t="n">
        <f aca="false">$B39*(J28+1)</f>
        <v>22.7603833865815</v>
      </c>
      <c r="K39" s="16" t="n">
        <f aca="false">$B39*(K28+1)</f>
        <v>22.594249201278</v>
      </c>
      <c r="L39" s="16" t="n">
        <f aca="false">$B39*(L28+1)</f>
        <v>23.258785942492</v>
      </c>
      <c r="M39" s="16" t="n">
        <f aca="false">$B39*(M28+1)</f>
        <v>22.5527156549521</v>
      </c>
      <c r="N39" s="16" t="n">
        <f aca="false">$B39*(N28+1)</f>
        <v>23.0926517571885</v>
      </c>
      <c r="O39" s="16" t="n">
        <f aca="false">$B39*(O28+1)</f>
        <v>24.297124600639</v>
      </c>
      <c r="P39" s="16" t="n">
        <f aca="false">$B39*(P28+1)</f>
        <v>24.9201277955272</v>
      </c>
    </row>
    <row r="40" customFormat="false" ht="13.8" hidden="false" customHeight="false" outlineLevel="0" collapsed="false">
      <c r="A40" s="14"/>
      <c r="B40" s="12" t="n">
        <f aca="false">B17</f>
        <v>29</v>
      </c>
      <c r="C40" s="16" t="n">
        <f aca="false">$B40*(C29+1)</f>
        <v>24.1821086261981</v>
      </c>
      <c r="D40" s="16" t="n">
        <f aca="false">$B40*(D29+1)</f>
        <v>25.1086261980831</v>
      </c>
      <c r="E40" s="16" t="n">
        <f aca="false">$B40*(E29+1)</f>
        <v>25.6645367412141</v>
      </c>
      <c r="F40" s="16" t="n">
        <f aca="false">$B40*(F29+1)</f>
        <v>26.4520766773163</v>
      </c>
      <c r="G40" s="16" t="n">
        <f aca="false">$B40*(G29+1)</f>
        <v>26.591054313099</v>
      </c>
      <c r="H40" s="16" t="n">
        <f aca="false">$B40*(H29+1)</f>
        <v>26.4520766773163</v>
      </c>
      <c r="I40" s="16" t="n">
        <f aca="false">$B40*(I29+1)</f>
        <v>25.4329073482428</v>
      </c>
      <c r="J40" s="16" t="n">
        <f aca="false">$B40*(J29+1)</f>
        <v>25.6645367412141</v>
      </c>
      <c r="K40" s="16" t="n">
        <f aca="false">$B40*(K29+1)</f>
        <v>24.7380191693291</v>
      </c>
      <c r="L40" s="16" t="n">
        <f aca="false">$B40*(L29+1)</f>
        <v>25.8961661341853</v>
      </c>
      <c r="M40" s="16" t="n">
        <f aca="false">$B40*(M29+1)</f>
        <v>23.7651757188498</v>
      </c>
      <c r="N40" s="16" t="n">
        <f aca="false">$B40*(N29+1)</f>
        <v>24.7380191693291</v>
      </c>
      <c r="O40" s="16" t="n">
        <f aca="false">$B40*(O29+1)</f>
        <v>26.1741214057508</v>
      </c>
      <c r="P40" s="16" t="n">
        <f aca="false">$B40*(P29+1)</f>
        <v>27.1006389776358</v>
      </c>
    </row>
  </sheetData>
  <mergeCells count="7">
    <mergeCell ref="C1:E1"/>
    <mergeCell ref="C2:E2"/>
    <mergeCell ref="C3:E3"/>
    <mergeCell ref="C7:E7"/>
    <mergeCell ref="A8:A15"/>
    <mergeCell ref="A20:A27"/>
    <mergeCell ref="A31:A38"/>
  </mergeCells>
  <printOptions headings="false" gridLines="false" gridLinesSet="true" horizontalCentered="false" verticalCentered="false"/>
  <pageMargins left="0.7" right="0.7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2597</TotalTime>
  <Application>LibreOffice/7.3.4.2$Linux_X86_64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2022-03-25T07:43:12Z</dcterms:created>
  <dc:creator>Stefan Hermann</dc:creator>
  <dc:description/>
  <dc:language>en-US</dc:language>
  <cp:lastModifiedBy/>
  <dcterms:modified xsi:type="dcterms:W3CDTF">2022-07-09T15:08:51Z</dcterms:modified>
  <cp:revision>13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